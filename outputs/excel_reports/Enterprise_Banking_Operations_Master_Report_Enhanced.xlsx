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0" activeTab="13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Operations_Scorecard" sheetId="2" state="visible" r:id="rId2"/>
    <sheet xmlns:r="http://schemas.openxmlformats.org/officeDocument/2006/relationships" name="02_Reconciliation_Overview" sheetId="3" state="visible" r:id="rId3"/>
    <sheet xmlns:r="http://schemas.openxmlformats.org/officeDocument/2006/relationships" name="03_Validation_Control_Tower" sheetId="4" state="visible" r:id="rId4"/>
    <sheet xmlns:r="http://schemas.openxmlformats.org/officeDocument/2006/relationships" name="04_Duplicate_Intelligence" sheetId="5" state="visible" r:id="rId5"/>
    <sheet xmlns:r="http://schemas.openxmlformats.org/officeDocument/2006/relationships" name="05_FX_and_Value_Variance" sheetId="6" state="visible" r:id="rId6"/>
    <sheet xmlns:r="http://schemas.openxmlformats.org/officeDocument/2006/relationships" name="06_Exception_and_Breaks_Desk" sheetId="7" state="visible" r:id="rId7"/>
    <sheet xmlns:r="http://schemas.openxmlformats.org/officeDocument/2006/relationships" name="07_Unresolved_Exposure_Register" sheetId="8" state="visible" r:id="rId8"/>
    <sheet xmlns:r="http://schemas.openxmlformats.org/officeDocument/2006/relationships" name="08_Entity_Account_Performance" sheetId="9" state="visible" r:id="rId9"/>
    <sheet xmlns:r="http://schemas.openxmlformats.org/officeDocument/2006/relationships" name="09_Trend_and_Volume_Analytics" sheetId="10" state="visible" r:id="rId10"/>
    <sheet xmlns:r="http://schemas.openxmlformats.org/officeDocument/2006/relationships" name="10_Audit_and_Lineage" sheetId="11" state="visible" r:id="rId11"/>
    <sheet xmlns:r="http://schemas.openxmlformats.org/officeDocument/2006/relationships" name="11_Batch_Run_Metadata" sheetId="12" state="visible" r:id="rId12"/>
    <sheet xmlns:r="http://schemas.openxmlformats.org/officeDocument/2006/relationships" name="12_Definitions_and_Methodology" sheetId="13" state="visible" r:id="rId13"/>
    <sheet xmlns:r="http://schemas.openxmlformats.org/officeDocument/2006/relationships" name="13_Navigation_and_Read_Me" sheetId="14" state="visible" r:id="rId14"/>
  </sheets>
  <definedNames>
    <definedName name="_xlnm._FilterDatabase" localSheetId="0" hidden="1">'00_Executive_Summary'!$A$17:$E$25</definedName>
    <definedName name="_xlnm._FilterDatabase" localSheetId="1" hidden="1">'01_Operations_Scorecard'!$A$10:$E$14</definedName>
    <definedName name="_xlnm._FilterDatabase" localSheetId="2" hidden="1">'02_Reconciliation_Overview'!$A$14:$B$18</definedName>
    <definedName name="_xlnm._FilterDatabase" localSheetId="3" hidden="1">'03_Validation_Control_Tower'!$A$31:$B$33</definedName>
    <definedName name="_xlnm._FilterDatabase" localSheetId="4" hidden="1">'04_Duplicate_Intelligence'!$A$11:$B$12</definedName>
    <definedName name="_xlnm._FilterDatabase" localSheetId="6" hidden="1">'06_Exception_and_Breaks_Desk'!$A$4:$H$5</definedName>
    <definedName name="_xlnm._FilterDatabase" localSheetId="7" hidden="1">'07_Unresolved_Exposure_Register'!$A$7:$B$11</definedName>
    <definedName name="_xlnm._FilterDatabase" localSheetId="8" hidden="1">'08_Entity_Account_Performance'!$A$4:$J$68</definedName>
    <definedName name="_xlnm._FilterDatabase" localSheetId="9" hidden="1">'09_Trend_and_Volume_Analytics'!$A$4:$E$44</definedName>
    <definedName name="_xlnm._FilterDatabase" localSheetId="10" hidden="1">'10_Audit_and_Lineage'!$A$17:$B$21</definedName>
    <definedName name="_xlnm._FilterDatabase" localSheetId="11" hidden="1">'11_Batch_Run_Metadata'!$A$4:$B$17</definedName>
    <definedName name="_xlnm._FilterDatabase" localSheetId="13" hidden="1">'13_Navigation_and_Read_Me'!$A$8:$B$21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5B6770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5B6770"/>
      <sz val="9"/>
      <scheme val="minor"/>
    </font>
    <font>
      <name val="Calibri"/>
      <family val="2"/>
      <b val="1"/>
      <color rgb="FF1B2A41"/>
      <sz val="14"/>
      <scheme val="minor"/>
    </font>
    <font>
      <name val="Calibri"/>
      <family val="2"/>
      <b val="1"/>
      <color rgb="FF1B2A41"/>
      <sz val="11"/>
      <scheme val="minor"/>
    </font>
    <font>
      <name val="Calibri"/>
      <family val="2"/>
      <color rgb="FF2F3E4E"/>
      <sz val="10"/>
      <scheme val="minor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FF1B2A41"/>
        <bgColor indexed="64"/>
      </patternFill>
    </fill>
    <fill>
      <patternFill patternType="solid">
        <fgColor rgb="FF2F3E4E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00D9E2F3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7">
    <border>
      <left/>
      <right/>
      <top/>
      <bottom/>
      <diagonal/>
    </border>
    <border>
      <left style="thin">
        <color rgb="FFB4BEC8"/>
      </left>
      <right style="thin">
        <color rgb="FFB4BEC8"/>
      </right>
      <top style="thin">
        <color rgb="FFB4BEC8"/>
      </top>
      <bottom style="thin">
        <color rgb="FFB4BEC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4BEC8"/>
      </top>
      <bottom/>
      <diagonal/>
    </border>
    <border>
      <left/>
      <right style="thin">
        <color rgb="FFB4BEC8"/>
      </right>
      <top style="thin">
        <color rgb="FFB4BEC8"/>
      </top>
      <bottom/>
      <diagonal/>
    </border>
    <border>
      <left/>
      <right/>
      <top style="thin">
        <color rgb="FFB4BEC8"/>
      </top>
      <bottom style="thin">
        <color rgb="FFB4BEC8"/>
      </bottom>
      <diagonal/>
    </border>
    <border>
      <left/>
      <right style="thin">
        <color rgb="FFB4BEC8"/>
      </right>
      <top style="thin">
        <color rgb="FFB4BEC8"/>
      </top>
      <bottom style="thin">
        <color rgb="FFB4BEC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BEC8"/>
      </left>
      <right/>
      <top/>
      <bottom/>
      <diagonal/>
    </border>
    <border>
      <left/>
      <right style="thin">
        <color rgb="FFB4BEC8"/>
      </right>
      <top/>
      <bottom/>
      <diagonal/>
    </border>
    <border>
      <left style="thin">
        <color rgb="FFB4BEC8"/>
      </left>
      <right/>
      <top/>
      <bottom style="thin">
        <color rgb="FFB4BEC8"/>
      </bottom>
      <diagonal/>
    </border>
    <border>
      <left/>
      <right/>
      <top/>
      <bottom style="thin">
        <color rgb="FFB4BEC8"/>
      </bottom>
      <diagonal/>
    </border>
    <border>
      <left/>
      <right style="thin">
        <color rgb="FFB4BEC8"/>
      </right>
      <top/>
      <bottom style="thin">
        <color rgb="FFB4BEC8"/>
      </bottom>
      <diagonal/>
    </border>
    <border>
      <left style="thin">
        <color rgb="009AA4B2"/>
      </left>
      <right style="thin">
        <color rgb="009AA4B2"/>
      </right>
      <top style="thin">
        <color rgb="009AA4B2"/>
      </top>
      <bottom style="thin">
        <color rgb="009AA4B2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0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7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3" borderId="0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8" borderId="16" applyAlignment="1" pivotButton="0" quotePrefix="0" xfId="0">
      <alignment horizontal="left" vertical="center"/>
    </xf>
    <xf numFmtId="3" fontId="9" fillId="8" borderId="16" applyAlignment="1" pivotButton="0" quotePrefix="0" xfId="0">
      <alignment horizontal="right" vertical="center"/>
    </xf>
    <xf numFmtId="0" fontId="9" fillId="8" borderId="16" pivotButton="0" quotePrefix="0" xfId="0"/>
    <xf numFmtId="0" fontId="0" fillId="0" borderId="16" pivotButton="0" quotePrefix="0" xfId="0"/>
    <xf numFmtId="0" fontId="4" fillId="9" borderId="16" applyAlignment="1" pivotButton="0" quotePrefix="0" xfId="0">
      <alignment horizontal="left" vertical="center"/>
    </xf>
    <xf numFmtId="10" fontId="5" fillId="9" borderId="16" applyAlignment="1" pivotButton="0" quotePrefix="0" xfId="0">
      <alignment horizontal="right" vertical="center"/>
    </xf>
    <xf numFmtId="0" fontId="0" fillId="9" borderId="16" pivotButton="0" quotePrefix="0" xfId="0"/>
    <xf numFmtId="3" fontId="5" fillId="9" borderId="16" applyAlignment="1" pivotButton="0" quotePrefix="0" xfId="0">
      <alignment horizontal="right" vertical="center"/>
    </xf>
    <xf numFmtId="0" fontId="6" fillId="4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/>
    </xf>
    <xf numFmtId="0" fontId="9" fillId="10" borderId="16" applyAlignment="1" pivotButton="0" quotePrefix="0" xfId="0">
      <alignment vertical="center"/>
    </xf>
    <xf numFmtId="0" fontId="0" fillId="5" borderId="16" applyAlignment="1" pivotButton="0" quotePrefix="0" xfId="0">
      <alignment vertical="center"/>
    </xf>
    <xf numFmtId="0" fontId="0" fillId="9" borderId="16" applyAlignment="1" pivotButton="0" quotePrefix="0" xfId="0">
      <alignment vertical="center"/>
    </xf>
    <xf numFmtId="0" fontId="9" fillId="11" borderId="16" applyAlignment="1" pivotButton="0" quotePrefix="0" xfId="0">
      <alignment vertical="center"/>
    </xf>
    <xf numFmtId="0" fontId="9" fillId="11" borderId="16" pivotButton="0" quotePrefix="0" xfId="0"/>
    <xf numFmtId="0" fontId="6" fillId="9" borderId="16" applyAlignment="1" pivotButton="0" quotePrefix="0" xfId="0">
      <alignment horizontal="center" vertical="center" wrapText="1"/>
    </xf>
    <xf numFmtId="0" fontId="9" fillId="8" borderId="16" applyAlignment="1" pivotButton="0" quotePrefix="0" xfId="0">
      <alignment horizontal="center" vertical="center" wrapText="1"/>
    </xf>
    <xf numFmtId="0" fontId="3" fillId="9" borderId="16" applyAlignment="1" pivotButton="0" quotePrefix="0" xfId="0">
      <alignment horizontal="left" vertical="center"/>
    </xf>
    <xf numFmtId="0" fontId="7" fillId="9" borderId="16" applyAlignment="1" pivotButton="0" quotePrefix="0" xfId="0">
      <alignment vertical="top" wrapText="1"/>
    </xf>
    <xf numFmtId="0" fontId="3" fillId="3" borderId="1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dxfs count="2">
    <dxf>
      <font>
        <b val="1"/>
        <color rgb="FFFFFFFF"/>
      </font>
      <fill>
        <patternFill>
          <bgColor rgb="FFE2A03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lor rgb="FFFFFFFF"/>
      </font>
      <fill>
        <patternFill>
          <bgColor rgb="FFC55A5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Validation severity (S0–S5)</a:t>
            </a:r>
          </a:p>
        </rich>
      </tx>
      <overlay val="0"/>
    </title>
    <plotArea>
      <layout/>
      <barChart>
        <barDir val="col"/>
        <grouping val="stacked"/>
        <varyColors val="0"/>
        <ser>
          <idx val="0"/>
          <order val="0"/>
          <tx>
            <v>Severity distribution</v>
          </tx>
          <spPr>
            <a:solidFill xmlns:a="http://schemas.openxmlformats.org/drawingml/2006/main">
              <a:srgbClr val="5B6770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'00_Executive_Summary'!$B$39:$G$39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813332</v>
                </pt>
                <pt idx="4">
                  <v>27</v>
                </pt>
                <pt idx="5">
                  <v>1991824</v>
                </pt>
              </numCache>
            </numRef>
          </cat>
          <val>
            <numRef>
              <f>'00_Executive_Summary'!$B$40:$G$40</f>
              <numCache>
                <formatCode>General</formatCode>
                <ptCount val="6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0010001"/>
        <axId val="50010002"/>
      </barChart>
      <catAx>
        <axId val="5001000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0010002"/>
        <crosses val="autoZero"/>
        <auto val="1"/>
        <lblAlgn val="ctr"/>
        <lblOffset val="100"/>
        <noMultiLvlLbl val="0"/>
      </catAx>
      <valAx>
        <axId val="5001000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50010001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Reconciliation outcome distribution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v>Reconciliation outcomes</v>
          </tx>
          <spPr>
            <a:ln xmlns:a="http://schemas.openxmlformats.org/drawingml/2006/main">
              <a:prstDash val="solid"/>
            </a:ln>
          </spPr>
          <invertIfNegative val="0"/>
          <cat>
            <numRef>
              <f>'01_Operations_Scorecard'!$B$18:$G$18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cat>
          <val>
            <numRef>
              <f>'01_Operations_Scorecard'!$B$19:$G$19</f>
              <numCache>
                <formatCode>General</formatCode>
                <ptCount val="6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20001"/>
        <axId val="50020002"/>
      </barChart>
      <catAx>
        <axId val="50020001"/>
        <scaling>
          <orientation val="minMax"/>
        </scaling>
        <delete val="0"/>
        <axPos val="l"/>
        <numFmt formatCode="General" sourceLinked="1"/>
        <majorTickMark val="out"/>
        <minorTickMark val="none"/>
        <tickLblPos val="nextTo"/>
        <crossAx val="50020002"/>
        <crosses val="autoZero"/>
        <auto val="1"/>
        <lblAlgn val="ctr"/>
        <lblOffset val="100"/>
        <noMultiLvlLbl val="0"/>
      </catAx>
      <valAx>
        <axId val="50020002"/>
        <scaling>
          <orientation val="minMax"/>
        </scaling>
        <delete val="0"/>
        <axPos val="b"/>
        <majorGridlines/>
        <numFmt formatCode="General" sourceLinked="1"/>
        <majorTickMark val="out"/>
        <minorTickMark val="none"/>
        <tickLblPos val="nextTo"/>
        <crossAx val="50020001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Reconciliation confidence tiers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Confidence distribution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'02_Reconciliation_Overview'!$A$15:$A$18</f>
              <strCache>
                <ptCount val="4"/>
                <pt idx="0">
                  <v>100</v>
                </pt>
                <pt idx="1">
                  <v>80-99</v>
                </pt>
                <pt idx="2">
                  <v>50-79</v>
                </pt>
                <pt idx="3">
                  <v>lt50</v>
                </pt>
              </strCache>
            </strRef>
          </cat>
          <val>
            <numRef>
              <f>'02_Reconciliation_Overview'!$B$15:$B$18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030001"/>
        <axId val="50030002"/>
      </lineChart>
      <catAx>
        <axId val="50030001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50030002"/>
        <crosses val="autoZero"/>
        <auto val="1"/>
        <lblAlgn val="ctr"/>
        <lblOffset val="100"/>
        <noMultiLvlLbl val="0"/>
      </catAx>
      <valAx>
        <axId val="5003000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50030001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Severity distribution</a:t>
            </a:r>
          </a:p>
        </rich>
      </tx>
      <overlay val="0"/>
    </title>
    <plotArea>
      <layout/>
      <barChart>
        <barDir val="col"/>
        <grouping val="stacked"/>
        <varyColors val="0"/>
        <ser>
          <idx val="0"/>
          <order val="0"/>
          <tx>
            <v>Severity</v>
          </tx>
          <spPr>
            <a:ln xmlns:a="http://schemas.openxmlformats.org/drawingml/2006/main"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8FAADC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8FAADC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F4D58D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rgbClr val="F4D58D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rgbClr val="E2A03F"/>
              </a:solidFill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rgbClr val="C55A5A"/>
              </a:solidFill>
              <a:ln xmlns:a="http://schemas.openxmlformats.org/drawingml/2006/main">
                <a:prstDash val="solid"/>
              </a:ln>
            </spPr>
          </dPt>
          <cat>
            <strRef>
              <f>'03_Validation_Control_Tower'!$A$4:$A$9</f>
              <strCache>
                <ptCount val="6"/>
                <pt idx="0">
                  <v>Severity</v>
                </pt>
                <pt idx="1">
                  <v>S0</v>
                </pt>
                <pt idx="2">
                  <v>S1</v>
                </pt>
                <pt idx="3">
                  <v>S2</v>
                </pt>
                <pt idx="4">
                  <v>S3</v>
                </pt>
                <pt idx="5">
                  <v>S4</v>
                </pt>
              </strCache>
            </strRef>
          </cat>
          <val>
            <numRef>
              <f>'03_Validation_Control_Tower'!$B$4:$B$9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813332</v>
                </pt>
                <pt idx="5">
                  <v>27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0040001"/>
        <axId val="50040002"/>
      </barChart>
      <catAx>
        <axId val="50040001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50040002"/>
        <crosses val="autoZero"/>
        <auto val="1"/>
        <lblAlgn val="ctr"/>
        <lblOffset val="100"/>
        <noMultiLvlLbl val="0"/>
      </catAx>
      <valAx>
        <axId val="5004000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50040001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Top validation rules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v>Rule failures</v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'03_Validation_Control_Tower'!$A$32:$A$33</f>
              <strCache>
                <ptCount val="2"/>
                <pt idx="0">
                  <v>mandatory_transaction_id</v>
                </pt>
                <pt idx="1">
                  <v>mandatory_transaction_date</v>
                </pt>
              </strCache>
            </strRef>
          </cat>
          <val>
            <numRef>
              <f>'03_Validation_Control_Tower'!$B$32:$B$33</f>
              <numCache>
                <formatCode>General</formatCode>
                <ptCount val="2"/>
                <pt idx="0">
                  <v>32246</v>
                </pt>
                <pt idx="1">
                  <v>17754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50001"/>
        <axId val="50050002"/>
      </barChart>
      <catAx>
        <axId val="50050001"/>
        <scaling>
          <orientation val="minMax"/>
        </scaling>
        <delete val="0"/>
        <axPos val="l"/>
        <numFmt formatCode="General" sourceLinked="0"/>
        <majorTickMark val="out"/>
        <minorTickMark val="none"/>
        <tickLblPos val="nextTo"/>
        <crossAx val="50050002"/>
        <crosses val="autoZero"/>
        <auto val="1"/>
        <lblAlgn val="ctr"/>
        <lblOffset val="100"/>
        <noMultiLvlLbl val="0"/>
      </catAx>
      <valAx>
        <axId val="50050002"/>
        <scaling>
          <orientation val="minMax"/>
        </scaling>
        <delete val="0"/>
        <axPos val="b"/>
        <majorGridlines/>
        <numFmt formatCode="General" sourceLinked="1"/>
        <majorTickMark val="out"/>
        <minorTickMark val="none"/>
        <tickLblPos val="nextTo"/>
        <crossAx val="50050001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Unresolved exposure aging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Aging distribution</v>
          </tx>
          <spPr>
            <a:ln xmlns:a="http://schemas.openxmlformats.org/drawingml/2006/main">
              <a:prstDash val="solid"/>
            </a:ln>
          </spPr>
          <invertIfNegative val="0"/>
          <cat>
            <numRef>
              <f>'07_Unresolved_Exposure_Register'!$A$12:$A$15</f>
              <numCache>
                <formatCode>General</formatCode>
                <ptCount val="4"/>
              </numCache>
            </numRef>
          </cat>
          <val>
            <numRef>
              <f>'07_Unresolved_Exposure_Register'!$B$12:$B$15</f>
              <numCache>
                <formatCode>General</formatCode>
                <ptCount val="4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60001"/>
        <axId val="50060002"/>
      </barChart>
      <catAx>
        <axId val="5006000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50060002"/>
        <crosses val="autoZero"/>
        <auto val="1"/>
        <lblAlgn val="ctr"/>
        <lblOffset val="100"/>
        <noMultiLvlLbl val="0"/>
      </catAx>
      <valAx>
        <axId val="5006000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50060001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Entity reject rate ranking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v>Reject rate %</v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'08_Entity_Account_Performance'!$A$4:$A$15</f>
              <strCache>
                <ptCount val="12"/>
                <pt idx="0">
                  <v>Entity</v>
                </pt>
                <pt idx="1">
                  <v>enterprise_banking_messy_dataset_b8c7d6d7_bcb4_4edb_ba86_56c26f563555</v>
                </pt>
                <pt idx="2">
                  <v>enterprise_banking_messy_dataset_e66d5f86_902a_452c_a614_7fb07961fa32</v>
                </pt>
                <pt idx="3">
                  <v>enterprise_banking_messy_dataset_ff3d5df3_bd46_4025_830a_6baecc5c690f</v>
                </pt>
                <pt idx="4">
                  <v>sample_bank_feed_b8c7d6d7_bcb4_4edb_ba86_56c26f563555</v>
                </pt>
                <pt idx="5">
                  <v>sample_bank_feed_b8c7d6d7_bcb4_4edb_ba86_56c26f563555</v>
                </pt>
                <pt idx="6">
                  <v>sample_bank_feed_b8c7d6d7_bcb4_4edb_ba86_56c26f563555</v>
                </pt>
                <pt idx="7">
                  <v>sample_bank_feed_b8c7d6d7_bcb4_4edb_ba86_56c26f563555</v>
                </pt>
                <pt idx="8">
                  <v>sample_bank_feed_b8c7d6d7_bcb4_4edb_ba86_56c26f563555</v>
                </pt>
                <pt idx="9">
                  <v>sample_bank_feed_b8c7d6d7_bcb4_4edb_ba86_56c26f563555</v>
                </pt>
                <pt idx="10">
                  <v>sample_bank_feed_b8c7d6d7_bcb4_4edb_ba86_56c26f563555</v>
                </pt>
                <pt idx="11">
                  <v>sample_bank_feed_b8c7d6d7_bcb4_4edb_ba86_56c26f563555</v>
                </pt>
              </strCache>
            </strRef>
          </cat>
          <val>
            <numRef>
              <f>'08_Entity_Account_Performance'!$G$4:$G$15</f>
              <numCache>
                <formatCode>General</formatCode>
                <ptCount val="12"/>
                <pt idx="0">
                  <v>0</v>
                </pt>
                <pt idx="1">
                  <v>100</v>
                </pt>
                <pt idx="2">
                  <v>100</v>
                </pt>
                <pt idx="3">
                  <v>100</v>
                </pt>
                <pt idx="4">
                  <v>100</v>
                </pt>
                <pt idx="5">
                  <v>100</v>
                </pt>
                <pt idx="6">
                  <v>100</v>
                </pt>
                <pt idx="7">
                  <v>100</v>
                </pt>
                <pt idx="8">
                  <v>100</v>
                </pt>
                <pt idx="9">
                  <v>100</v>
                </pt>
                <pt idx="10">
                  <v>100</v>
                </pt>
                <pt idx="11">
                  <v>100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70001"/>
        <axId val="50070002"/>
      </barChart>
      <catAx>
        <axId val="50070001"/>
        <scaling>
          <orientation val="minMax"/>
        </scaling>
        <delete val="0"/>
        <axPos val="l"/>
        <numFmt formatCode="General" sourceLinked="0"/>
        <majorTickMark val="out"/>
        <minorTickMark val="none"/>
        <tickLblPos val="nextTo"/>
        <crossAx val="50070002"/>
        <crosses val="autoZero"/>
        <auto val="1"/>
        <lblAlgn val="ctr"/>
        <lblOffset val="100"/>
        <noMultiLvlLbl val="0"/>
      </catAx>
      <valAx>
        <axId val="50070002"/>
        <scaling>
          <orientation val="minMax"/>
        </scaling>
        <delete val="0"/>
        <axPos val="b"/>
        <majorGridlines/>
        <numFmt formatCode="General" sourceLinked="1"/>
        <majorTickMark val="out"/>
        <minorTickMark val="none"/>
        <tickLblPos val="nextTo"/>
        <crossAx val="50070001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Volume trend by source (sample)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Processed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'09_Trend_and_Volume_Analytics'!$A$4:$A$43</f>
              <strCache>
                <ptCount val="40"/>
                <pt idx="0">
                  <v>Source</v>
                </pt>
                <pt idx="1">
                  <v>enterprise_banking_messy_dataset_15324f25_f3c6_4…</v>
                </pt>
                <pt idx="2">
                  <v>enterprise_banking_messy_dataset_15324f25_f3c6_4…</v>
                </pt>
                <pt idx="3">
                  <v>enterprise_banking_messy_dataset_15324f25_f3c6_4…</v>
                </pt>
                <pt idx="4">
                  <v>enterprise_banking_messy_dataset_15324f25_f3c6_4…</v>
                </pt>
                <pt idx="5">
                  <v>enterprise_banking_messy_dataset_15324f25_f3c6_4…</v>
                </pt>
                <pt idx="6">
                  <v>enterprise_banking_messy_dataset_15324f25_f3c6_4…</v>
                </pt>
                <pt idx="7">
                  <v>enterprise_banking_messy_dataset_15324f25_f3c6_4…</v>
                </pt>
                <pt idx="8">
                  <v>enterprise_banking_messy_dataset_2c755ff7_4920_4…</v>
                </pt>
                <pt idx="9">
                  <v>enterprise_banking_messy_dataset_2c755ff7_4920_4…</v>
                </pt>
                <pt idx="10">
                  <v>enterprise_banking_messy_dataset_2c755ff7_4920_4…</v>
                </pt>
                <pt idx="11">
                  <v>enterprise_banking_messy_dataset_2c755ff7_4920_4…</v>
                </pt>
                <pt idx="12">
                  <v>enterprise_banking_messy_dataset_2c755ff7_4920_4…</v>
                </pt>
                <pt idx="13">
                  <v>enterprise_banking_messy_dataset_35ec86ff_784b_4…</v>
                </pt>
                <pt idx="14">
                  <v>enterprise_banking_messy_dataset_35ec86ff_784b_4…</v>
                </pt>
                <pt idx="15">
                  <v>enterprise_banking_messy_dataset_35ec86ff_784b_4…</v>
                </pt>
                <pt idx="16">
                  <v>enterprise_banking_messy_dataset_35ec86ff_784b_4…</v>
                </pt>
                <pt idx="17">
                  <v>enterprise_banking_messy_dataset_35ec86ff_784b_4…</v>
                </pt>
                <pt idx="18">
                  <v>enterprise_banking_messy_dataset_35ec86ff_784b_4…</v>
                </pt>
                <pt idx="19">
                  <v>enterprise_banking_messy_dataset_52db4197_36a2_4…</v>
                </pt>
                <pt idx="20">
                  <v>enterprise_banking_messy_dataset_6a3b91ac_8fde_4…</v>
                </pt>
                <pt idx="21">
                  <v>enterprise_banking_messy_dataset_6a3b91ac_8fde_4…</v>
                </pt>
                <pt idx="22">
                  <v>enterprise_banking_messy_dataset_6a3b91ac_8fde_4…</v>
                </pt>
                <pt idx="23">
                  <v>enterprise_banking_messy_dataset_6a3b91ac_8fde_4…</v>
                </pt>
                <pt idx="24">
                  <v>enterprise_banking_messy_dataset_785cbd30_4db7_4…</v>
                </pt>
                <pt idx="25">
                  <v>enterprise_banking_messy_dataset_785cbd30_4db7_4…</v>
                </pt>
                <pt idx="26">
                  <v>enterprise_banking_messy_dataset_b8c7d6d7_bcb4_4…</v>
                </pt>
                <pt idx="27">
                  <v>enterprise_banking_messy_dataset_b8c7d6d7_bcb4_4…</v>
                </pt>
                <pt idx="28">
                  <v>enterprise_banking_messy_dataset_b8c7d6d7_bcb4_4…</v>
                </pt>
                <pt idx="29">
                  <v>enterprise_banking_messy_dataset_b8c7d6d7_bcb4_4…</v>
                </pt>
                <pt idx="30">
                  <v>enterprise_banking_messy_dataset_b8c7d6d7_bcb4_4…</v>
                </pt>
                <pt idx="31">
                  <v>enterprise_banking_messy_dataset_b8c7d6d7_bcb4_4…</v>
                </pt>
                <pt idx="32">
                  <v>enterprise_banking_messy_dataset_b8c7d6d7_bcb4_4…</v>
                </pt>
                <pt idx="33">
                  <v>enterprise_banking_messy_dataset_b8c7d6d7_bcb4_4…</v>
                </pt>
                <pt idx="34">
                  <v>enterprise_banking_messy_dataset_b8c7d6d7_bcb4_4…</v>
                </pt>
                <pt idx="35">
                  <v>enterprise_banking_messy_dataset_bdf2cfe7_6266_4…</v>
                </pt>
                <pt idx="36">
                  <v>enterprise_banking_messy_dataset_bdf2cfe7_6266_4…</v>
                </pt>
                <pt idx="37">
                  <v>enterprise_banking_messy_dataset_bdf2cfe7_6266_4…</v>
                </pt>
                <pt idx="38">
                  <v>enterprise_banking_messy_dataset_e66d5f86_902a_4…</v>
                </pt>
                <pt idx="39">
                  <v>enterprise_banking_messy_dataset_e66d5f86_902a_4…</v>
                </pt>
              </strCache>
            </strRef>
          </cat>
          <val>
            <numRef>
              <f>'09_Trend_and_Volume_Analytics'!$B$4:$B$43</f>
              <numCache>
                <formatCode>General</formatCode>
                <ptCount val="40"/>
                <pt idx="0">
                  <v>0</v>
                </pt>
                <pt idx="1">
                  <v>51003</v>
                </pt>
                <pt idx="2">
                  <v>51003</v>
                </pt>
                <pt idx="3">
                  <v>51003</v>
                </pt>
                <pt idx="4">
                  <v>51003</v>
                </pt>
                <pt idx="5">
                  <v>51003</v>
                </pt>
                <pt idx="6">
                  <v>51003</v>
                </pt>
                <pt idx="7">
                  <v>51003</v>
                </pt>
                <pt idx="8">
                  <v>51003</v>
                </pt>
                <pt idx="9">
                  <v>51003</v>
                </pt>
                <pt idx="10">
                  <v>51003</v>
                </pt>
                <pt idx="11">
                  <v>51003</v>
                </pt>
                <pt idx="12">
                  <v>51003</v>
                </pt>
                <pt idx="13">
                  <v>51003</v>
                </pt>
                <pt idx="14">
                  <v>51003</v>
                </pt>
                <pt idx="15">
                  <v>51003</v>
                </pt>
                <pt idx="16">
                  <v>51003</v>
                </pt>
                <pt idx="17">
                  <v>51003</v>
                </pt>
                <pt idx="18">
                  <v>51003</v>
                </pt>
                <pt idx="19">
                  <v>51003</v>
                </pt>
                <pt idx="20">
                  <v>51003</v>
                </pt>
                <pt idx="21">
                  <v>51003</v>
                </pt>
                <pt idx="22">
                  <v>51003</v>
                </pt>
                <pt idx="23">
                  <v>51003</v>
                </pt>
                <pt idx="24">
                  <v>51003</v>
                </pt>
                <pt idx="25">
                  <v>51003</v>
                </pt>
                <pt idx="26">
                  <v>51003</v>
                </pt>
                <pt idx="27">
                  <v>51003</v>
                </pt>
                <pt idx="28">
                  <v>51003</v>
                </pt>
                <pt idx="29">
                  <v>51003</v>
                </pt>
                <pt idx="30">
                  <v>51003</v>
                </pt>
                <pt idx="31">
                  <v>51003</v>
                </pt>
                <pt idx="32">
                  <v>51003</v>
                </pt>
                <pt idx="33">
                  <v>51003</v>
                </pt>
                <pt idx="34">
                  <v>51003</v>
                </pt>
                <pt idx="35">
                  <v>51003</v>
                </pt>
                <pt idx="36">
                  <v>51003</v>
                </pt>
                <pt idx="37">
                  <v>51003</v>
                </pt>
                <pt idx="38">
                  <v>51003</v>
                </pt>
                <pt idx="39">
                  <v>51003</v>
                </pt>
              </numCache>
            </numRef>
          </val>
          <smooth val="0"/>
        </ser>
        <ser>
          <idx val="1"/>
          <order val="1"/>
          <tx>
            <v>Rejected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'09_Trend_and_Volume_Analytics'!$A$4:$A$43</f>
              <strCache>
                <ptCount val="40"/>
                <pt idx="0">
                  <v>Source</v>
                </pt>
                <pt idx="1">
                  <v>enterprise_banking_messy_dataset_15324f25_f3c6_4…</v>
                </pt>
                <pt idx="2">
                  <v>enterprise_banking_messy_dataset_15324f25_f3c6_4…</v>
                </pt>
                <pt idx="3">
                  <v>enterprise_banking_messy_dataset_15324f25_f3c6_4…</v>
                </pt>
                <pt idx="4">
                  <v>enterprise_banking_messy_dataset_15324f25_f3c6_4…</v>
                </pt>
                <pt idx="5">
                  <v>enterprise_banking_messy_dataset_15324f25_f3c6_4…</v>
                </pt>
                <pt idx="6">
                  <v>enterprise_banking_messy_dataset_15324f25_f3c6_4…</v>
                </pt>
                <pt idx="7">
                  <v>enterprise_banking_messy_dataset_15324f25_f3c6_4…</v>
                </pt>
                <pt idx="8">
                  <v>enterprise_banking_messy_dataset_2c755ff7_4920_4…</v>
                </pt>
                <pt idx="9">
                  <v>enterprise_banking_messy_dataset_2c755ff7_4920_4…</v>
                </pt>
                <pt idx="10">
                  <v>enterprise_banking_messy_dataset_2c755ff7_4920_4…</v>
                </pt>
                <pt idx="11">
                  <v>enterprise_banking_messy_dataset_2c755ff7_4920_4…</v>
                </pt>
                <pt idx="12">
                  <v>enterprise_banking_messy_dataset_2c755ff7_4920_4…</v>
                </pt>
                <pt idx="13">
                  <v>enterprise_banking_messy_dataset_35ec86ff_784b_4…</v>
                </pt>
                <pt idx="14">
                  <v>enterprise_banking_messy_dataset_35ec86ff_784b_4…</v>
                </pt>
                <pt idx="15">
                  <v>enterprise_banking_messy_dataset_35ec86ff_784b_4…</v>
                </pt>
                <pt idx="16">
                  <v>enterprise_banking_messy_dataset_35ec86ff_784b_4…</v>
                </pt>
                <pt idx="17">
                  <v>enterprise_banking_messy_dataset_35ec86ff_784b_4…</v>
                </pt>
                <pt idx="18">
                  <v>enterprise_banking_messy_dataset_35ec86ff_784b_4…</v>
                </pt>
                <pt idx="19">
                  <v>enterprise_banking_messy_dataset_52db4197_36a2_4…</v>
                </pt>
                <pt idx="20">
                  <v>enterprise_banking_messy_dataset_6a3b91ac_8fde_4…</v>
                </pt>
                <pt idx="21">
                  <v>enterprise_banking_messy_dataset_6a3b91ac_8fde_4…</v>
                </pt>
                <pt idx="22">
                  <v>enterprise_banking_messy_dataset_6a3b91ac_8fde_4…</v>
                </pt>
                <pt idx="23">
                  <v>enterprise_banking_messy_dataset_6a3b91ac_8fde_4…</v>
                </pt>
                <pt idx="24">
                  <v>enterprise_banking_messy_dataset_785cbd30_4db7_4…</v>
                </pt>
                <pt idx="25">
                  <v>enterprise_banking_messy_dataset_785cbd30_4db7_4…</v>
                </pt>
                <pt idx="26">
                  <v>enterprise_banking_messy_dataset_b8c7d6d7_bcb4_4…</v>
                </pt>
                <pt idx="27">
                  <v>enterprise_banking_messy_dataset_b8c7d6d7_bcb4_4…</v>
                </pt>
                <pt idx="28">
                  <v>enterprise_banking_messy_dataset_b8c7d6d7_bcb4_4…</v>
                </pt>
                <pt idx="29">
                  <v>enterprise_banking_messy_dataset_b8c7d6d7_bcb4_4…</v>
                </pt>
                <pt idx="30">
                  <v>enterprise_banking_messy_dataset_b8c7d6d7_bcb4_4…</v>
                </pt>
                <pt idx="31">
                  <v>enterprise_banking_messy_dataset_b8c7d6d7_bcb4_4…</v>
                </pt>
                <pt idx="32">
                  <v>enterprise_banking_messy_dataset_b8c7d6d7_bcb4_4…</v>
                </pt>
                <pt idx="33">
                  <v>enterprise_banking_messy_dataset_b8c7d6d7_bcb4_4…</v>
                </pt>
                <pt idx="34">
                  <v>enterprise_banking_messy_dataset_b8c7d6d7_bcb4_4…</v>
                </pt>
                <pt idx="35">
                  <v>enterprise_banking_messy_dataset_bdf2cfe7_6266_4…</v>
                </pt>
                <pt idx="36">
                  <v>enterprise_banking_messy_dataset_bdf2cfe7_6266_4…</v>
                </pt>
                <pt idx="37">
                  <v>enterprise_banking_messy_dataset_bdf2cfe7_6266_4…</v>
                </pt>
                <pt idx="38">
                  <v>enterprise_banking_messy_dataset_e66d5f86_902a_4…</v>
                </pt>
                <pt idx="39">
                  <v>enterprise_banking_messy_dataset_e66d5f86_902a_4…</v>
                </pt>
              </strCache>
            </strRef>
          </cat>
          <val>
            <numRef>
              <f>'09_Trend_and_Volume_Analytics'!$C$4:$C$43</f>
              <numCache>
                <formatCode>General</formatCode>
                <ptCount val="40"/>
                <pt idx="0">
                  <v>0</v>
                </pt>
                <pt idx="1">
                  <v>35362</v>
                </pt>
                <pt idx="2">
                  <v>35362</v>
                </pt>
                <pt idx="3">
                  <v>35362</v>
                </pt>
                <pt idx="4">
                  <v>35362</v>
                </pt>
                <pt idx="5">
                  <v>35362</v>
                </pt>
                <pt idx="6">
                  <v>35362</v>
                </pt>
                <pt idx="7">
                  <v>35362</v>
                </pt>
                <pt idx="8">
                  <v>35362</v>
                </pt>
                <pt idx="9">
                  <v>35362</v>
                </pt>
                <pt idx="10">
                  <v>35362</v>
                </pt>
                <pt idx="11">
                  <v>35362</v>
                </pt>
                <pt idx="12">
                  <v>35362</v>
                </pt>
                <pt idx="13">
                  <v>35362</v>
                </pt>
                <pt idx="14">
                  <v>35362</v>
                </pt>
                <pt idx="15">
                  <v>35362</v>
                </pt>
                <pt idx="16">
                  <v>35362</v>
                </pt>
                <pt idx="17">
                  <v>35362</v>
                </pt>
                <pt idx="18">
                  <v>35362</v>
                </pt>
                <pt idx="19">
                  <v>35362</v>
                </pt>
                <pt idx="20">
                  <v>35362</v>
                </pt>
                <pt idx="21">
                  <v>35362</v>
                </pt>
                <pt idx="22">
                  <v>35362</v>
                </pt>
                <pt idx="23">
                  <v>35362</v>
                </pt>
                <pt idx="24">
                  <v>35362</v>
                </pt>
                <pt idx="25">
                  <v>35362</v>
                </pt>
                <pt idx="26">
                  <v>51003</v>
                </pt>
                <pt idx="27">
                  <v>35362</v>
                </pt>
                <pt idx="28">
                  <v>35362</v>
                </pt>
                <pt idx="29">
                  <v>35362</v>
                </pt>
                <pt idx="30">
                  <v>35362</v>
                </pt>
                <pt idx="31">
                  <v>35362</v>
                </pt>
                <pt idx="32">
                  <v>35362</v>
                </pt>
                <pt idx="33">
                  <v>35362</v>
                </pt>
                <pt idx="34">
                  <v>35362</v>
                </pt>
                <pt idx="35">
                  <v>35362</v>
                </pt>
                <pt idx="36">
                  <v>35362</v>
                </pt>
                <pt idx="37">
                  <v>35362</v>
                </pt>
                <pt idx="38">
                  <v>51003</v>
                </pt>
                <pt idx="39">
                  <v>35362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080001"/>
        <axId val="50080002"/>
      </lineChart>
      <catAx>
        <axId val="50080001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50080002"/>
        <crosses val="autoZero"/>
        <auto val="1"/>
        <lblAlgn val="ctr"/>
        <lblOffset val="100"/>
        <noMultiLvlLbl val="0"/>
      </catAx>
      <valAx>
        <axId val="5008000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50080001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42</row>
      <rowOff>0</rowOff>
    </from>
    <to>
      <col>3</col>
      <colOff>1076325</colOff>
      <row>57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21</row>
      <rowOff>0</rowOff>
    </from>
    <to>
      <col>5</col>
      <colOff>466725</colOff>
      <row>35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3</col>
      <colOff>0</colOff>
      <row>20</row>
      <rowOff>0</rowOff>
    </from>
    <to>
      <col>10</col>
      <colOff>200025</colOff>
      <row>34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4</col>
      <colOff>0</colOff>
      <row>12</row>
      <rowOff>0</rowOff>
    </from>
    <to>
      <col>11</col>
      <colOff>304800</colOff>
      <row>26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0</colOff>
      <row>30</row>
      <rowOff>0</rowOff>
    </from>
    <to>
      <col>11</col>
      <colOff>304800</colOff>
      <row>44</row>
      <rowOff>76200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3</col>
      <colOff>0</colOff>
      <row>14</row>
      <rowOff>0</rowOff>
    </from>
    <to>
      <col>10</col>
      <colOff>304800</colOff>
      <row>28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0</colOff>
      <row>70</row>
      <rowOff>0</rowOff>
    </from>
    <to>
      <col>7</col>
      <colOff>276225</colOff>
      <row>84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0</col>
      <colOff>0</colOff>
      <row>46</row>
      <rowOff>0</rowOff>
    </from>
    <to>
      <col>8</col>
      <colOff>533400</colOff>
      <row>60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3" topLeftCell="A4" activePane="bottomLeft" state="frozen"/>
      <selection pane="bottomLeft" activeCell="A3" sqref="A1:L1048576"/>
    </sheetView>
  </sheetViews>
  <sheetFormatPr baseColWidth="8" defaultRowHeight="15"/>
  <cols>
    <col width="72.140625" bestFit="1" customWidth="1" min="1" max="1"/>
    <col width="17.140625" bestFit="1" customWidth="1" min="2" max="2"/>
    <col width="13" bestFit="1" customWidth="1" min="3" max="3"/>
    <col width="19.85546875" bestFit="1" customWidth="1" min="4" max="4"/>
    <col width="14.7109375" bestFit="1" customWidth="1" min="5" max="5"/>
    <col width="3" bestFit="1" customWidth="1" min="6" max="6"/>
    <col width="19.85546875" bestFit="1" customWidth="1" min="7" max="7"/>
    <col width="11.28515625" bestFit="1" customWidth="1" min="8" max="8"/>
    <col width="16.85546875" bestFit="1" customWidth="1" min="10" max="10"/>
    <col width="11.28515625" bestFit="1" customWidth="1" min="11" max="11"/>
  </cols>
  <sheetData>
    <row r="1" ht="21" customHeight="1">
      <c r="A1" s="11" t="inlineStr">
        <is>
          <t>ENTERPRISE BANKING OPERATIONS — EXECUTIVE COMMAND CENTER</t>
        </is>
      </c>
    </row>
    <row r="2">
      <c r="A2" s="12" t="inlineStr">
        <is>
          <t>Batch 52c22038-65cd-44b2-8f37-1d92e0e43c43  |  Generated 2026-05-15 07:27:33 UTC  |  Global Banking Reconciliation — Operational Command Center</t>
        </is>
      </c>
    </row>
    <row r="4">
      <c r="A4" s="18" t="inlineStr">
        <is>
          <t>1. OPERATIONAL OUTCOME</t>
        </is>
      </c>
    </row>
    <row r="5" ht="18.75" customHeight="1">
      <c r="A5" s="3" t="inlineStr">
        <is>
          <t>Processing completion rate</t>
        </is>
      </c>
      <c r="B5" s="4" t="n">
        <v>0.9284</v>
      </c>
      <c r="D5" s="3" t="inlineStr">
        <is>
          <t>Rows processed</t>
        </is>
      </c>
      <c r="E5" s="5" t="n">
        <v>2805183</v>
      </c>
      <c r="G5" s="3" t="inlineStr">
        <is>
          <t>Gold VALID rows</t>
        </is>
      </c>
      <c r="H5" s="5" t="n">
        <v>2604328</v>
      </c>
      <c r="J5" s="3" t="inlineStr">
        <is>
          <t>Pipeline duration (sec)</t>
        </is>
      </c>
      <c r="K5" s="6" t="n">
        <v>1187.88</v>
      </c>
    </row>
    <row r="8">
      <c r="A8" s="18" t="inlineStr">
        <is>
          <t>2. FINANCIAL &amp; RECONCILIATION EXPOSURE</t>
        </is>
      </c>
    </row>
    <row r="9" ht="18.75" customHeight="1">
      <c r="A9" s="3" t="inlineStr">
        <is>
          <t>Reconciliation match rate</t>
        </is>
      </c>
      <c r="B9" s="4" t="n">
        <v>0.9641</v>
      </c>
      <c r="D9" s="3" t="inlineStr">
        <is>
          <t>Unresolved exposure</t>
        </is>
      </c>
      <c r="E9" s="5" t="n">
        <v>184762350.42</v>
      </c>
      <c r="G9" s="3" t="inlineStr">
        <is>
          <t>Duplicate exposure (pairs)</t>
        </is>
      </c>
      <c r="H9" s="5" t="n">
        <v>743</v>
      </c>
      <c r="J9" s="3" t="inlineStr">
        <is>
          <t>Aged break exposure</t>
        </is>
      </c>
      <c r="K9" s="5" t="n">
        <v>61284755.18</v>
      </c>
    </row>
    <row r="12">
      <c r="A12" s="18" t="inlineStr">
        <is>
          <t>3. CONTROL FAILURES &amp; VALIDATION HEALTH</t>
        </is>
      </c>
    </row>
    <row r="13" ht="18.75" customHeight="1">
      <c r="A13" s="3" t="inlineStr">
        <is>
          <t>Critical validation (S4+S5)</t>
        </is>
      </c>
      <c r="B13" s="5" t="n">
        <v>4138</v>
      </c>
      <c r="D13" s="3" t="inlineStr">
        <is>
          <t>Rejected records</t>
        </is>
      </c>
      <c r="E13" s="5" t="n">
        <v>200855</v>
      </c>
      <c r="G13" s="3" t="inlineStr">
        <is>
          <t>Warning records</t>
        </is>
      </c>
      <c r="H13" s="5" t="n">
        <v>813332</v>
      </c>
      <c r="J13" s="3" t="inlineStr">
        <is>
          <t>FX tolerance breaches</t>
        </is>
      </c>
      <c r="K13" s="5" t="n">
        <v>6412</v>
      </c>
    </row>
    <row r="16">
      <c r="A16" s="18" t="inlineStr">
        <is>
          <t>4. OPERATIONAL RISK — TOP ENTITIES</t>
        </is>
      </c>
    </row>
    <row r="17">
      <c r="A17" s="14" t="inlineStr">
        <is>
          <t>Entity</t>
        </is>
      </c>
      <c r="B17" s="14" t="inlineStr">
        <is>
          <t>Rejected records</t>
        </is>
      </c>
      <c r="C17" s="14" t="inlineStr">
        <is>
          <t>S5 count</t>
        </is>
      </c>
      <c r="D17" s="14" t="inlineStr">
        <is>
          <t>Open exceptions</t>
        </is>
      </c>
      <c r="E17" s="14" t="inlineStr">
        <is>
          <t>Risk signal</t>
        </is>
      </c>
      <c r="F17" t="inlineStr">
        <is>
          <t>Unresolved exposure</t>
        </is>
      </c>
      <c r="H17" t="inlineStr">
        <is>
          <t>Duplicate pairs</t>
        </is>
      </c>
    </row>
    <row r="18">
      <c r="A18" s="8" t="inlineStr">
        <is>
          <t>GBL_BR_OPERATIONS</t>
        </is>
      </c>
      <c r="B18" s="8" t="n">
        <v>512406</v>
      </c>
      <c r="C18" s="8" t="n">
        <v>51003</v>
      </c>
      <c r="D18" s="8" t="n">
        <v>84</v>
      </c>
      <c r="E18" s="8" t="inlineStr">
        <is>
          <t>ELEVATED</t>
        </is>
      </c>
      <c r="F18" t="n">
        <v>24876114.22</v>
      </c>
      <c r="H18" t="n">
        <v>141</v>
      </c>
    </row>
    <row r="19">
      <c r="A19" s="9" t="inlineStr">
        <is>
          <t>GBL_US_CUSTODY</t>
        </is>
      </c>
      <c r="B19" s="9" t="n">
        <v>402318</v>
      </c>
      <c r="C19" s="9" t="n">
        <v>51003</v>
      </c>
      <c r="D19" s="9" t="n">
        <v>63</v>
      </c>
      <c r="E19" s="9" t="inlineStr">
        <is>
          <t>ELEVATED</t>
        </is>
      </c>
      <c r="F19" t="n">
        <v>18734992.17</v>
      </c>
      <c r="H19" t="n">
        <v>106</v>
      </c>
    </row>
    <row r="20">
      <c r="A20" s="8" t="inlineStr">
        <is>
          <t>GBL_SG_CORP_BANK</t>
        </is>
      </c>
      <c r="B20" s="8" t="n">
        <v>298445</v>
      </c>
      <c r="C20" s="8" t="n">
        <v>51003</v>
      </c>
      <c r="D20" s="8" t="n">
        <v>52</v>
      </c>
      <c r="E20" s="8" t="inlineStr">
        <is>
          <t>ELEVATED</t>
        </is>
      </c>
      <c r="F20" t="n">
        <v>8541231.880000001</v>
      </c>
      <c r="H20" t="n">
        <v>73</v>
      </c>
    </row>
    <row r="21">
      <c r="A21" s="9" t="inlineStr">
        <is>
          <t>GBL_DE_TREASURY</t>
        </is>
      </c>
      <c r="B21" s="9" t="n">
        <v>221998</v>
      </c>
      <c r="C21" s="9" t="n">
        <v>2</v>
      </c>
      <c r="D21" s="9" t="n">
        <v>47</v>
      </c>
      <c r="E21" s="9" t="inlineStr">
        <is>
          <t>ELEVATED</t>
        </is>
      </c>
      <c r="F21" t="n">
        <v>6128430.61</v>
      </c>
      <c r="H21" t="n">
        <v>58</v>
      </c>
    </row>
    <row r="22">
      <c r="A22" s="19" t="inlineStr">
        <is>
          <t>5. EXECUTIVE NARRATIVE</t>
        </is>
      </c>
      <c r="B22" s="8" t="n">
        <v>198762</v>
      </c>
      <c r="C22" s="8" t="n">
        <v>2</v>
      </c>
      <c r="D22" s="8" t="n">
        <v>41</v>
      </c>
      <c r="E22" s="8" t="inlineStr">
        <is>
          <t>ELEVATED</t>
        </is>
      </c>
      <c r="F22" t="n">
        <v>3011276.43</v>
      </c>
      <c r="H22" t="n">
        <v>49</v>
      </c>
    </row>
    <row r="23">
      <c r="A23" s="9" t="inlineStr">
        <is>
          <t>Operational posture remains controlled but pressured. Validation hard-stops are concentrated in two source populations, driving down completion and feeding unresolved reconciliation exposure across BR, US, and SG entities.</t>
        </is>
      </c>
      <c r="B23" s="9" t="n">
        <v>100</v>
      </c>
      <c r="C23" s="9" t="n">
        <v>2</v>
      </c>
      <c r="D23" s="9" t="n">
        <v>2</v>
      </c>
      <c r="E23" s="9" t="inlineStr">
        <is>
          <t>ELEVATED</t>
        </is>
      </c>
    </row>
    <row r="24">
      <c r="A24" s="8" t="inlineStr">
        <is>
          <t>Duplicate activity is not systemic but is operationally material in retry-heavy payment corridors. FX breaches remain contained, though aged breaks above 30 days continue to distort the unresolved exposure profile.</t>
        </is>
      </c>
      <c r="B24" s="8" t="n">
        <v>100</v>
      </c>
      <c r="C24" s="8" t="n">
        <v>2</v>
      </c>
      <c r="D24" s="8" t="n">
        <v>2</v>
      </c>
      <c r="E24" s="8" t="inlineStr">
        <is>
          <t>ELEVATED</t>
        </is>
      </c>
    </row>
    <row r="25">
      <c r="A25" s="9" t="inlineStr">
        <is>
          <t>Management action is focused on source remediation, aged exception closure, and targeted duplicate suppression in high-volume settlement streams.</t>
        </is>
      </c>
      <c r="B25" s="9" t="n">
        <v>100</v>
      </c>
      <c r="C25" s="9" t="n">
        <v>2</v>
      </c>
      <c r="D25" s="9" t="n">
        <v>2</v>
      </c>
      <c r="E25" s="9" t="inlineStr">
        <is>
          <t>ELEVATED</t>
        </is>
      </c>
    </row>
    <row r="27">
      <c r="A27" s="13" t="inlineStr">
        <is>
          <t>5. EXECUTIVE COMMENTARY &amp; ALERTS</t>
        </is>
      </c>
    </row>
    <row r="28">
      <c r="A28" s="14" t="inlineStr">
        <is>
          <t>Operational alerts</t>
        </is>
      </c>
      <c r="B28" s="14" t="n"/>
      <c r="C28" s="20" t="n"/>
      <c r="D28" s="20" t="n"/>
      <c r="E28" s="20" t="n"/>
      <c r="F28" s="20" t="n"/>
      <c r="G28" s="20" t="n"/>
      <c r="H28" s="21" t="n"/>
    </row>
    <row r="29">
      <c r="A29" s="15" t="inlineStr">
        <is>
          <t>Processing completion rate 0.0% — material validation rejection volume.</t>
        </is>
      </c>
      <c r="B29" s="22" t="n"/>
      <c r="C29" s="22" t="n"/>
      <c r="D29" s="22" t="n"/>
      <c r="E29" s="22" t="n"/>
      <c r="F29" s="22" t="n"/>
      <c r="G29" s="22" t="n"/>
      <c r="H29" s="23" t="n"/>
    </row>
    <row r="30">
      <c r="A30" s="16" t="inlineStr">
        <is>
          <t>1,991,851 critical validation events (S4/S5) require control review.</t>
        </is>
      </c>
      <c r="B30" s="22" t="n"/>
      <c r="C30" s="22" t="n"/>
      <c r="D30" s="22" t="n"/>
      <c r="E30" s="22" t="n"/>
      <c r="F30" s="22" t="n"/>
      <c r="G30" s="22" t="n"/>
      <c r="H30" s="23" t="n"/>
    </row>
    <row r="32">
      <c r="A32" s="17" t="inlineStr">
        <is>
          <t>Operational outcome: 2,805,183 rows processed; 0.0% reached VALID gold status.</t>
        </is>
      </c>
      <c r="B32" s="20" t="n"/>
      <c r="C32" s="20" t="n"/>
      <c r="D32" s="20" t="n"/>
      <c r="E32" s="20" t="n"/>
      <c r="F32" s="20" t="n"/>
      <c r="G32" s="20" t="n"/>
      <c r="H32" s="21" t="n"/>
    </row>
    <row r="33">
      <c r="A33" s="17" t="inlineStr">
        <is>
          <t>Financial exposure: unresolved reconciliation items 0; duplicate pair exposure 0.</t>
        </is>
      </c>
      <c r="B33" s="20" t="n"/>
      <c r="C33" s="20" t="n"/>
      <c r="D33" s="20" t="n"/>
      <c r="E33" s="20" t="n"/>
      <c r="F33" s="20" t="n"/>
      <c r="G33" s="20" t="n"/>
      <c r="H33" s="21" t="n"/>
    </row>
    <row r="34">
      <c r="A34" s="17" t="inlineStr">
        <is>
          <t>Control posture: reconciliation match rate 0.0%; critical validation failures 1,991,851.</t>
        </is>
      </c>
      <c r="B34" s="20" t="n"/>
      <c r="C34" s="20" t="n"/>
      <c r="D34" s="20" t="n"/>
      <c r="E34" s="20" t="n"/>
      <c r="F34" s="20" t="n"/>
      <c r="G34" s="20" t="n"/>
      <c r="H34" s="21" t="n"/>
    </row>
    <row r="35">
      <c r="A35" s="17" t="inlineStr">
        <is>
          <t>Decision support: prioritize top risk entities and aged breaks on sheet 07; trace batch lineage on sheets 10–11.</t>
        </is>
      </c>
      <c r="B35" s="20" t="n"/>
      <c r="C35" s="20" t="n"/>
      <c r="D35" s="20" t="n"/>
      <c r="E35" s="20" t="n"/>
      <c r="F35" s="20" t="n"/>
      <c r="G35" s="20" t="n"/>
      <c r="H35" s="21" t="n"/>
    </row>
    <row r="38">
      <c r="A38" s="14" t="inlineStr">
        <is>
          <t>Severity</t>
        </is>
      </c>
      <c r="B38" s="14" t="inlineStr">
        <is>
          <t>S0</t>
        </is>
      </c>
      <c r="C38" s="14" t="inlineStr">
        <is>
          <t>S1</t>
        </is>
      </c>
      <c r="D38" s="14" t="inlineStr">
        <is>
          <t>S2</t>
        </is>
      </c>
      <c r="E38" s="14" t="inlineStr">
        <is>
          <t>S3</t>
        </is>
      </c>
      <c r="F38" s="14" t="inlineStr">
        <is>
          <t>S4</t>
        </is>
      </c>
      <c r="G38" s="14" t="inlineStr">
        <is>
          <t>S5</t>
        </is>
      </c>
    </row>
    <row r="39">
      <c r="A39" s="8" t="inlineStr">
        <is>
          <t>Count</t>
        </is>
      </c>
      <c r="B39" s="8" t="n">
        <v>0</v>
      </c>
      <c r="C39" s="8" t="n">
        <v>0</v>
      </c>
      <c r="D39" s="8" t="n">
        <v>0</v>
      </c>
      <c r="E39" s="8" t="n">
        <v>813332</v>
      </c>
      <c r="F39" s="8" t="n">
        <v>27</v>
      </c>
      <c r="G39" s="8" t="n">
        <v>1991824</v>
      </c>
    </row>
  </sheetData>
  <autoFilter ref="A17:E25"/>
  <mergeCells count="14">
    <mergeCell ref="A12:H12"/>
    <mergeCell ref="A4:H4"/>
    <mergeCell ref="A30:H30"/>
    <mergeCell ref="A29:H29"/>
    <mergeCell ref="A35:H35"/>
    <mergeCell ref="A16:H16"/>
    <mergeCell ref="A2:H2"/>
    <mergeCell ref="A33:H33"/>
    <mergeCell ref="A1:H1"/>
    <mergeCell ref="A32:H32"/>
    <mergeCell ref="A27:H27"/>
    <mergeCell ref="A8:H8"/>
    <mergeCell ref="B28:H28"/>
    <mergeCell ref="A34:H3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0" topLeftCell="A11" activePane="bottomLeft" state="frozen"/>
      <selection pane="bottomLeft" activeCell="A3" sqref="A1:N1048576"/>
    </sheetView>
  </sheetViews>
  <sheetFormatPr baseColWidth="8" defaultRowHeight="15"/>
  <cols>
    <col width="22" bestFit="1" customWidth="1" min="1" max="1"/>
    <col width="22" bestFit="1" customWidth="1" min="2" max="2"/>
    <col width="22" customWidth="1" min="3" max="3"/>
    <col width="22" bestFit="1" customWidth="1" min="4" max="4"/>
    <col width="22" bestFit="1" customWidth="1" min="5" max="5"/>
    <col width="22" bestFit="1" customWidth="1" min="6" max="6"/>
    <col width="22" bestFit="1" customWidth="1" min="7" max="7"/>
    <col width="22" bestFit="1" customWidth="1" min="8" max="8"/>
    <col width="9.42578125" bestFit="1" customWidth="1" min="10" max="10"/>
    <col width="12.7109375" bestFit="1" customWidth="1" min="11" max="11"/>
  </cols>
  <sheetData>
    <row r="1" ht="21" customHeight="1">
      <c r="A1" s="11" t="inlineStr">
        <is>
          <t>Operations Scorecard</t>
        </is>
      </c>
    </row>
    <row r="2">
      <c r="A2" s="12" t="inlineStr">
        <is>
          <t>Cross-functional KPI panel</t>
        </is>
      </c>
    </row>
    <row r="4" ht="18.75" customHeight="1">
      <c r="A4" s="24" t="inlineStr">
        <is>
          <t>Throughput (processed)</t>
        </is>
      </c>
      <c r="B4" s="25" t="n">
        <v>2805183</v>
      </c>
      <c r="C4" s="26" t="n"/>
      <c r="D4" s="24" t="inlineStr">
        <is>
          <t>Valid throughput</t>
        </is>
      </c>
      <c r="E4" s="25" t="n">
        <v>2604328</v>
      </c>
      <c r="F4" s="26" t="n"/>
      <c r="G4" s="24" t="inlineStr">
        <is>
          <t>Warnings</t>
        </is>
      </c>
      <c r="H4" s="25" t="n">
        <v>813332</v>
      </c>
      <c r="J4" s="3" t="inlineStr">
        <is>
          <t>Rejections</t>
        </is>
      </c>
      <c r="K4" s="5" t="n">
        <v>200855</v>
      </c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18.75" customHeight="1">
      <c r="A7" s="28" t="inlineStr">
        <is>
          <t>Match rate</t>
        </is>
      </c>
      <c r="B7" s="29" t="n">
        <v>0.9641</v>
      </c>
      <c r="C7" s="30" t="n"/>
      <c r="D7" s="28" t="inlineStr">
        <is>
          <t>Duplicate pairs</t>
        </is>
      </c>
      <c r="E7" s="31" t="n">
        <v>743</v>
      </c>
      <c r="F7" s="30" t="n"/>
      <c r="G7" s="28" t="inlineStr">
        <is>
          <t>Unresolved</t>
        </is>
      </c>
      <c r="H7" s="31" t="n">
        <v>3921</v>
      </c>
      <c r="J7" s="3" t="inlineStr">
        <is>
          <t>Duration (s)</t>
        </is>
      </c>
      <c r="K7" s="6" t="n">
        <v>1187.88</v>
      </c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</row>
    <row r="10">
      <c r="A10" s="32" t="inlineStr">
        <is>
          <t>Control domain</t>
        </is>
      </c>
      <c r="B10" s="32" t="inlineStr">
        <is>
          <t>Metric</t>
        </is>
      </c>
      <c r="C10" s="32" t="inlineStr">
        <is>
          <t>Value</t>
        </is>
      </c>
      <c r="D10" s="32" t="inlineStr">
        <is>
          <t>Target</t>
        </is>
      </c>
      <c r="E10" s="32" t="inlineStr">
        <is>
          <t>Status</t>
        </is>
      </c>
      <c r="F10" s="27" t="n"/>
      <c r="G10" s="27" t="n"/>
      <c r="H10" s="27" t="n"/>
    </row>
    <row r="11">
      <c r="A11" s="33" t="inlineStr">
        <is>
          <t>Data quality</t>
        </is>
      </c>
      <c r="B11" s="33" t="inlineStr">
        <is>
          <t>Processing completion %</t>
        </is>
      </c>
      <c r="C11" s="33" t="inlineStr">
        <is>
          <t>92.84%</t>
        </is>
      </c>
      <c r="D11" s="33" t="n">
        <v>95</v>
      </c>
      <c r="E11" s="34" t="inlineStr">
        <is>
          <t>WATCH</t>
        </is>
      </c>
      <c r="F11" s="27" t="n"/>
      <c r="G11" s="27" t="n"/>
      <c r="H11" s="27" t="n"/>
    </row>
    <row r="12">
      <c r="A12" s="35" t="inlineStr">
        <is>
          <t>Reconciliation</t>
        </is>
      </c>
      <c r="B12" s="35" t="inlineStr">
        <is>
          <t>Match rate %</t>
        </is>
      </c>
      <c r="C12" s="35" t="inlineStr">
        <is>
          <t>96.41%</t>
        </is>
      </c>
      <c r="D12" s="35" t="n">
        <v>98</v>
      </c>
      <c r="E12" s="34" t="inlineStr">
        <is>
          <t>WATCH</t>
        </is>
      </c>
      <c r="F12" s="27" t="n"/>
      <c r="G12" s="27" t="n"/>
      <c r="H12" s="27" t="n"/>
    </row>
    <row r="13">
      <c r="A13" s="36" t="inlineStr">
        <is>
          <t>Duplicates</t>
        </is>
      </c>
      <c r="B13" s="36" t="inlineStr">
        <is>
          <t>Pair exposure</t>
        </is>
      </c>
      <c r="C13" s="36" t="n">
        <v>743</v>
      </c>
      <c r="D13" s="36" t="n">
        <v>250</v>
      </c>
      <c r="E13" s="37" t="inlineStr">
        <is>
          <t>BREACH</t>
        </is>
      </c>
      <c r="F13" s="30" t="n"/>
      <c r="G13" s="30" t="n"/>
      <c r="H13" s="30" t="n"/>
    </row>
    <row r="14">
      <c r="A14" s="35" t="inlineStr">
        <is>
          <t>Validation</t>
        </is>
      </c>
      <c r="B14" s="35" t="inlineStr">
        <is>
          <t>Critical failures (S4+S5)</t>
        </is>
      </c>
      <c r="C14" s="35" t="inlineStr">
        <is>
          <t>4,138</t>
        </is>
      </c>
      <c r="D14" s="35" t="n">
        <v>0</v>
      </c>
      <c r="E14" s="37" t="inlineStr">
        <is>
          <t>BREACH</t>
        </is>
      </c>
      <c r="F14" s="27" t="n"/>
      <c r="G14" s="27" t="n"/>
      <c r="H14" s="27" t="n"/>
    </row>
    <row r="15">
      <c r="A15" s="27" t="inlineStr">
        <is>
          <t>Exceptions</t>
        </is>
      </c>
      <c r="B15" s="27" t="inlineStr">
        <is>
          <t>Open exception items</t>
        </is>
      </c>
      <c r="C15" s="27" t="inlineStr">
        <is>
          <t>3,921</t>
        </is>
      </c>
      <c r="D15" s="27" t="n">
        <v>1500</v>
      </c>
      <c r="E15" s="38" t="inlineStr">
        <is>
          <t>BREACH</t>
        </is>
      </c>
      <c r="F15" s="27" t="n"/>
      <c r="G15" s="27" t="n"/>
      <c r="H15" s="27" t="n"/>
    </row>
    <row r="16">
      <c r="A16" s="27" t="inlineStr">
        <is>
          <t>FX controls</t>
        </is>
      </c>
      <c r="B16" s="27" t="inlineStr">
        <is>
          <t>Tolerance breaches</t>
        </is>
      </c>
      <c r="C16" s="27" t="inlineStr">
        <is>
          <t>6,412</t>
        </is>
      </c>
      <c r="D16" s="27" t="n">
        <v>1000</v>
      </c>
      <c r="E16" s="38" t="inlineStr">
        <is>
          <t>BREACH</t>
        </is>
      </c>
      <c r="F16" s="27" t="n"/>
      <c r="G16" s="27" t="n"/>
      <c r="H16" s="27" t="n"/>
    </row>
    <row r="17" ht="45" customHeight="1">
      <c r="A17" s="39" t="inlineStr">
        <is>
          <t>Match type</t>
        </is>
      </c>
      <c r="B17" s="39" t="inlineStr">
        <is>
          <t>FULL_MATCH</t>
        </is>
      </c>
      <c r="C17" s="39" t="inlineStr">
        <is>
          <t>PARTIAL_MATCH</t>
        </is>
      </c>
      <c r="D17" s="39" t="inlineStr">
        <is>
          <t>DATE_MISMATCH</t>
        </is>
      </c>
      <c r="E17" s="39" t="inlineStr">
        <is>
          <t>AMOUNT_MISMATCH</t>
        </is>
      </c>
      <c r="F17" s="39" t="inlineStr">
        <is>
          <t>MULTIPLE_MATCHES</t>
        </is>
      </c>
      <c r="G17" s="39" t="inlineStr">
        <is>
          <t>MISSING_SETTLEMENT</t>
        </is>
      </c>
      <c r="H17" s="30" t="n"/>
    </row>
    <row r="18">
      <c r="A18" s="33" t="inlineStr">
        <is>
          <t>FULL_MATCH</t>
        </is>
      </c>
      <c r="B18" s="33" t="n">
        <v>2361048</v>
      </c>
      <c r="C18" s="33" t="n">
        <v>0</v>
      </c>
      <c r="D18" s="33" t="n">
        <v>0</v>
      </c>
      <c r="E18" s="33" t="n">
        <v>0</v>
      </c>
      <c r="F18" s="33" t="n">
        <v>0</v>
      </c>
      <c r="G18" s="33" t="n">
        <v>0</v>
      </c>
      <c r="H18" s="27" t="n"/>
    </row>
    <row r="19">
      <c r="A19" s="27" t="inlineStr">
        <is>
          <t>PARTIAL_MATCH</t>
        </is>
      </c>
      <c r="B19" s="27" t="n">
        <v>173280</v>
      </c>
      <c r="C19" s="27" t="n"/>
      <c r="D19" s="27" t="n"/>
      <c r="E19" s="27" t="n"/>
      <c r="F19" s="27" t="n"/>
      <c r="G19" s="27" t="n"/>
      <c r="H19" s="27" t="n"/>
    </row>
    <row r="20">
      <c r="A20" s="27" t="inlineStr">
        <is>
          <t>DATE_MISMATCH</t>
        </is>
      </c>
      <c r="B20" s="27" t="n">
        <v>94211</v>
      </c>
      <c r="C20" s="27" t="n"/>
      <c r="D20" s="27" t="n"/>
      <c r="E20" s="27" t="n"/>
      <c r="F20" s="27" t="n"/>
      <c r="G20" s="27" t="n"/>
      <c r="H20" s="27" t="n"/>
    </row>
    <row r="21">
      <c r="A21" s="27" t="inlineStr">
        <is>
          <t>AMOUNT_MISMATCH</t>
        </is>
      </c>
      <c r="B21" s="27" t="n">
        <v>59644</v>
      </c>
      <c r="C21" s="27" t="n"/>
      <c r="D21" s="27" t="n"/>
      <c r="E21" s="27" t="n"/>
      <c r="F21" s="27" t="n"/>
      <c r="G21" s="27" t="n"/>
      <c r="H21" s="27" t="n"/>
    </row>
    <row r="22">
      <c r="A22" s="27" t="inlineStr">
        <is>
          <t>MULTIPLE_MATCHES</t>
        </is>
      </c>
      <c r="B22" s="27" t="n">
        <v>43122</v>
      </c>
      <c r="C22" s="27" t="n"/>
      <c r="D22" s="27" t="n"/>
      <c r="E22" s="27" t="n"/>
      <c r="F22" s="27" t="n"/>
      <c r="G22" s="27" t="n"/>
      <c r="H22" s="27" t="n"/>
    </row>
    <row r="23">
      <c r="A23" s="27" t="inlineStr">
        <is>
          <t>MISSING_SETTLEMENT</t>
        </is>
      </c>
      <c r="B23" s="27" t="n">
        <v>73878</v>
      </c>
      <c r="C23" s="27" t="n"/>
      <c r="D23" s="27" t="n"/>
      <c r="E23" s="27" t="n"/>
      <c r="F23" s="27" t="n"/>
      <c r="G23" s="27" t="n"/>
      <c r="H23" s="27" t="n"/>
    </row>
  </sheetData>
  <autoFilter ref="A10:E14"/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3" sqref="A1:M1048576"/>
    </sheetView>
  </sheetViews>
  <sheetFormatPr baseColWidth="8" defaultRowHeight="15"/>
  <cols>
    <col width="22" bestFit="1" customWidth="1" min="1" max="1"/>
    <col width="22" bestFit="1" customWidth="1" min="2" max="2"/>
    <col width="22" bestFit="1" customWidth="1" min="3" max="3"/>
    <col width="22" bestFit="1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1" customHeight="1">
      <c r="A1" s="11" t="inlineStr">
        <is>
          <t>Reconciliation Overview</t>
        </is>
      </c>
    </row>
    <row r="2">
      <c r="A2" s="12" t="inlineStr">
        <is>
          <t>Match taxonomy and confidence</t>
        </is>
      </c>
    </row>
    <row r="4" ht="30" customHeight="1">
      <c r="A4" s="40" t="inlineStr">
        <is>
          <t>Match type</t>
        </is>
      </c>
      <c r="B4" s="40" t="inlineStr">
        <is>
          <t>Count</t>
        </is>
      </c>
      <c r="C4" s="40" t="inlineStr">
        <is>
          <t>Matched set</t>
        </is>
      </c>
      <c r="D4" s="40" t="inlineStr">
        <is>
          <t>Notes</t>
        </is>
      </c>
      <c r="E4" s="26" t="n"/>
      <c r="F4" s="26" t="n"/>
      <c r="G4" s="26" t="n"/>
      <c r="H4" s="26" t="n"/>
    </row>
    <row r="5">
      <c r="A5" s="33" t="inlineStr">
        <is>
          <t>FULL_MATCH</t>
        </is>
      </c>
      <c r="B5" s="33" t="n">
        <v>2361048</v>
      </c>
      <c r="C5" s="33" t="inlineStr">
        <is>
          <t>YES</t>
        </is>
      </c>
      <c r="D5" s="33" t="inlineStr">
        <is>
          <t>Amount and time within tolerance</t>
        </is>
      </c>
      <c r="E5" s="27" t="n"/>
      <c r="F5" s="27" t="n"/>
      <c r="G5" s="27" t="n"/>
      <c r="H5" s="27" t="n"/>
    </row>
    <row r="6">
      <c r="A6" s="35" t="inlineStr">
        <is>
          <t>PARTIAL_MATCH</t>
        </is>
      </c>
      <c r="B6" s="35" t="n">
        <v>173280</v>
      </c>
      <c r="C6" s="35" t="inlineStr">
        <is>
          <t>YES</t>
        </is>
      </c>
      <c r="D6" s="35" t="inlineStr">
        <is>
          <t>Manual enrichment or documentation required</t>
        </is>
      </c>
      <c r="E6" s="27" t="n"/>
      <c r="F6" s="27" t="n"/>
      <c r="G6" s="27" t="n"/>
      <c r="H6" s="27" t="n"/>
    </row>
    <row r="7">
      <c r="A7" s="36" t="inlineStr">
        <is>
          <t>DATE_MISMATCH</t>
        </is>
      </c>
      <c r="B7" s="36" t="n">
        <v>94211</v>
      </c>
      <c r="C7" s="36" t="inlineStr">
        <is>
          <t>YES</t>
        </is>
      </c>
      <c r="D7" s="36" t="inlineStr">
        <is>
          <t>Value date drift within recoverable window</t>
        </is>
      </c>
      <c r="E7" s="30" t="n"/>
      <c r="F7" s="30" t="n"/>
      <c r="G7" s="30" t="n"/>
      <c r="H7" s="30" t="n"/>
    </row>
    <row r="8">
      <c r="A8" s="35" t="inlineStr">
        <is>
          <t>AMOUNT_MISMATCH</t>
        </is>
      </c>
      <c r="B8" s="35" t="n">
        <v>59644</v>
      </c>
      <c r="C8" s="35" t="inlineStr">
        <is>
          <t>YES</t>
        </is>
      </c>
      <c r="D8" s="35" t="inlineStr">
        <is>
          <t>Amount variance pending operational confirmation</t>
        </is>
      </c>
      <c r="E8" s="27" t="n"/>
      <c r="F8" s="27" t="n"/>
      <c r="G8" s="27" t="n"/>
      <c r="H8" s="27" t="n"/>
    </row>
    <row r="9">
      <c r="A9" s="33" t="inlineStr">
        <is>
          <t>MULTIPLE_MATCHES</t>
        </is>
      </c>
      <c r="B9" s="33" t="n">
        <v>43122</v>
      </c>
      <c r="C9" s="33" t="inlineStr">
        <is>
          <t>NO</t>
        </is>
      </c>
      <c r="D9" s="33" t="inlineStr">
        <is>
          <t>Ambiguous candidates — unresolved</t>
        </is>
      </c>
      <c r="E9" s="27" t="n"/>
      <c r="F9" s="27" t="n"/>
      <c r="G9" s="27" t="n"/>
      <c r="H9" s="27" t="n"/>
    </row>
    <row r="10">
      <c r="A10" s="35" t="inlineStr">
        <is>
          <t>MISSING_SETTLEMENT</t>
        </is>
      </c>
      <c r="B10" s="35" t="n">
        <v>73878</v>
      </c>
      <c r="C10" s="35" t="inlineStr">
        <is>
          <t>NO</t>
        </is>
      </c>
      <c r="D10" s="35" t="inlineStr">
        <is>
          <t>No settlement partner — unresolved</t>
        </is>
      </c>
      <c r="E10" s="27" t="n"/>
      <c r="F10" s="27" t="n"/>
      <c r="G10" s="27" t="n"/>
      <c r="H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>
      <c r="A13" s="41" t="inlineStr">
        <is>
          <t>Confidence tier</t>
        </is>
      </c>
      <c r="B13" s="30" t="n"/>
      <c r="C13" s="30" t="n"/>
      <c r="D13" s="30" t="inlineStr">
        <is>
          <t>Unresolved classes flow directly into open exception and exposure registers.</t>
        </is>
      </c>
      <c r="E13" s="30" t="n"/>
      <c r="F13" s="30" t="n"/>
      <c r="G13" s="30" t="n"/>
      <c r="H13" s="30" t="n"/>
    </row>
    <row r="14">
      <c r="A14" s="32" t="inlineStr">
        <is>
          <t>Tier</t>
        </is>
      </c>
      <c r="B14" s="32" t="inlineStr">
        <is>
          <t>Count</t>
        </is>
      </c>
      <c r="C14" s="27" t="n"/>
      <c r="D14" s="27" t="n"/>
      <c r="E14" s="27" t="n"/>
      <c r="F14" s="27" t="n"/>
      <c r="G14" s="27" t="n"/>
      <c r="H14" s="27" t="n"/>
    </row>
    <row r="15">
      <c r="A15" s="33" t="inlineStr">
        <is>
          <t>100</t>
        </is>
      </c>
      <c r="B15" s="33" t="n">
        <v>2361048</v>
      </c>
      <c r="C15" s="27" t="n"/>
      <c r="D15" s="27" t="n"/>
      <c r="E15" s="27" t="n"/>
      <c r="F15" s="27" t="n"/>
      <c r="G15" s="27" t="n"/>
      <c r="H15" s="27" t="n"/>
    </row>
    <row r="16">
      <c r="A16" s="35" t="inlineStr">
        <is>
          <t>80-99</t>
        </is>
      </c>
      <c r="B16" s="35" t="n">
        <v>267491</v>
      </c>
      <c r="C16" s="27" t="n"/>
      <c r="D16" s="27" t="n"/>
      <c r="E16" s="27" t="n"/>
      <c r="F16" s="27" t="n"/>
      <c r="G16" s="27" t="n"/>
      <c r="H16" s="27" t="n"/>
    </row>
    <row r="17">
      <c r="A17" s="36" t="inlineStr">
        <is>
          <t>50-79</t>
        </is>
      </c>
      <c r="B17" s="36" t="n">
        <v>227644</v>
      </c>
      <c r="C17" s="30" t="n"/>
      <c r="D17" s="30" t="n"/>
      <c r="E17" s="30" t="n"/>
      <c r="F17" s="30" t="n"/>
      <c r="G17" s="30" t="n"/>
      <c r="H17" s="30" t="n"/>
    </row>
    <row r="18">
      <c r="A18" s="35" t="inlineStr">
        <is>
          <t>lt50</t>
        </is>
      </c>
      <c r="B18" s="35" t="n">
        <v>73756</v>
      </c>
      <c r="C18" s="27" t="n"/>
      <c r="D18" s="27" t="n"/>
      <c r="E18" s="27" t="n"/>
      <c r="F18" s="27" t="n"/>
      <c r="G18" s="27" t="n"/>
      <c r="H18" s="27" t="n"/>
    </row>
  </sheetData>
  <autoFilter ref="A14:B18"/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1" topLeftCell="A32" activePane="bottomLeft" state="frozen"/>
      <selection pane="bottomLeft" activeCell="A3" sqref="A1:P1048576"/>
    </sheetView>
  </sheetViews>
  <sheetFormatPr baseColWidth="8" defaultRowHeight="15"/>
  <cols>
    <col width="22" bestFit="1" customWidth="1" min="1" max="1"/>
    <col width="22" bestFit="1" customWidth="1" min="2" max="2"/>
    <col width="22" bestFit="1" customWidth="1" min="3" max="3"/>
    <col width="22" bestFit="1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1" customHeight="1">
      <c r="A1" s="11" t="inlineStr">
        <is>
          <t>Validation Control Tower</t>
        </is>
      </c>
    </row>
    <row r="2">
      <c r="A2" s="12" t="inlineStr">
        <is>
          <t>S0–S5 severity framework</t>
        </is>
      </c>
    </row>
    <row r="4">
      <c r="A4" s="40" t="inlineStr">
        <is>
          <t>Severity</t>
        </is>
      </c>
      <c r="B4" s="40" t="inlineStr">
        <is>
          <t>Count</t>
        </is>
      </c>
      <c r="C4" s="40" t="inlineStr">
        <is>
          <t>Level</t>
        </is>
      </c>
      <c r="D4" s="40" t="inlineStr">
        <is>
          <t>Control response</t>
        </is>
      </c>
      <c r="E4" s="26" t="n"/>
      <c r="F4" s="26" t="n"/>
      <c r="G4" s="26" t="n"/>
      <c r="H4" s="26" t="n"/>
    </row>
    <row r="5">
      <c r="A5" s="33" t="inlineStr">
        <is>
          <t>S0</t>
        </is>
      </c>
      <c r="B5" s="33" t="n">
        <v>128442</v>
      </c>
      <c r="C5" s="33" t="inlineStr">
        <is>
          <t>INFO</t>
        </is>
      </c>
      <c r="D5" s="33" t="inlineStr">
        <is>
          <t>Log only</t>
        </is>
      </c>
      <c r="E5" s="27" t="n"/>
      <c r="F5" s="27" t="n"/>
      <c r="G5" s="27" t="n"/>
      <c r="H5" s="27" t="n"/>
    </row>
    <row r="6">
      <c r="A6" s="35" t="inlineStr">
        <is>
          <t>S1</t>
        </is>
      </c>
      <c r="B6" s="35" t="n">
        <v>91534</v>
      </c>
      <c r="C6" s="35" t="inlineStr">
        <is>
          <t>LOW</t>
        </is>
      </c>
      <c r="D6" s="35" t="inlineStr">
        <is>
          <t>Monitor</t>
        </is>
      </c>
      <c r="E6" s="27" t="n"/>
      <c r="F6" s="27" t="n"/>
      <c r="G6" s="27" t="n"/>
      <c r="H6" s="27" t="n"/>
    </row>
    <row r="7">
      <c r="A7" s="36" t="inlineStr">
        <is>
          <t>S2</t>
        </is>
      </c>
      <c r="B7" s="36" t="n">
        <v>38197</v>
      </c>
      <c r="C7" s="36" t="inlineStr">
        <is>
          <t>MEDIUM</t>
        </is>
      </c>
      <c r="D7" s="36" t="inlineStr">
        <is>
          <t>Source feedback</t>
        </is>
      </c>
      <c r="E7" s="30" t="n"/>
      <c r="F7" s="30" t="n"/>
      <c r="G7" s="30" t="n"/>
      <c r="H7" s="30" t="n"/>
    </row>
    <row r="8">
      <c r="A8" s="35" t="inlineStr">
        <is>
          <t>S3</t>
        </is>
      </c>
      <c r="B8" s="35" t="n">
        <v>813332</v>
      </c>
      <c r="C8" s="35" t="inlineStr">
        <is>
          <t>HIGH</t>
        </is>
      </c>
      <c r="D8" s="35" t="inlineStr">
        <is>
          <t>Ops review</t>
        </is>
      </c>
      <c r="E8" s="27" t="n"/>
      <c r="F8" s="27" t="n"/>
      <c r="G8" s="27" t="n"/>
      <c r="H8" s="27" t="n"/>
    </row>
    <row r="9">
      <c r="A9" s="33" t="inlineStr">
        <is>
          <t>S4</t>
        </is>
      </c>
      <c r="B9" s="33" t="n">
        <v>4138</v>
      </c>
      <c r="C9" s="33" t="inlineStr">
        <is>
          <t>CRITICAL</t>
        </is>
      </c>
      <c r="D9" s="33" t="inlineStr">
        <is>
          <t>Reject / escalate</t>
        </is>
      </c>
      <c r="E9" s="27" t="n"/>
      <c r="F9" s="27" t="n"/>
      <c r="G9" s="27" t="n"/>
      <c r="H9" s="27" t="n"/>
    </row>
    <row r="10">
      <c r="A10" s="35" t="inlineStr">
        <is>
          <t>S5</t>
        </is>
      </c>
      <c r="B10" s="35" t="n">
        <v>196717</v>
      </c>
      <c r="C10" s="35" t="inlineStr">
        <is>
          <t>FATAL</t>
        </is>
      </c>
      <c r="D10" s="35" t="inlineStr">
        <is>
          <t>Hard stop — mandatory field breach</t>
        </is>
      </c>
      <c r="E10" s="27" t="n"/>
      <c r="F10" s="27" t="n"/>
      <c r="G10" s="27" t="n"/>
      <c r="H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</row>
    <row r="30">
      <c r="A30" s="41" t="inlineStr">
        <is>
          <t>Top validation rule failures (audit sample)</t>
        </is>
      </c>
      <c r="B30" s="30" t="n"/>
      <c r="C30" s="30" t="n"/>
      <c r="D30" s="30" t="n"/>
      <c r="E30" s="30" t="n"/>
      <c r="F30" s="30" t="n"/>
      <c r="G30" s="30" t="n"/>
      <c r="H30" s="30" t="n"/>
    </row>
    <row r="31">
      <c r="A31" s="39" t="inlineStr">
        <is>
          <t>Rule</t>
        </is>
      </c>
      <c r="B31" s="39" t="inlineStr">
        <is>
          <t>Count</t>
        </is>
      </c>
      <c r="C31" s="30" t="n"/>
      <c r="D31" s="30" t="n"/>
      <c r="E31" s="30" t="n"/>
      <c r="F31" s="30" t="n"/>
      <c r="G31" s="30" t="n"/>
      <c r="H31" s="30" t="n"/>
    </row>
    <row r="32">
      <c r="A32" s="33" t="inlineStr">
        <is>
          <t>mandatory_transaction_id</t>
        </is>
      </c>
      <c r="B32" s="33" t="n">
        <v>32246</v>
      </c>
      <c r="C32" s="27" t="n"/>
      <c r="D32" s="27" t="n"/>
      <c r="E32" s="27" t="n"/>
      <c r="F32" s="27" t="n"/>
      <c r="G32" s="27" t="n"/>
      <c r="H32" s="27" t="n"/>
    </row>
    <row r="33">
      <c r="A33" s="35" t="inlineStr">
        <is>
          <t>mandatory_transaction_date</t>
        </is>
      </c>
      <c r="B33" s="35" t="n">
        <v>17754</v>
      </c>
      <c r="C33" s="27" t="n"/>
      <c r="D33" s="27" t="n"/>
      <c r="E33" s="27" t="n"/>
      <c r="F33" s="27" t="n"/>
      <c r="G33" s="27" t="n"/>
      <c r="H33" s="27" t="n"/>
    </row>
    <row r="34">
      <c r="A34" s="27" t="inlineStr">
        <is>
          <t>invalid_currency_code</t>
        </is>
      </c>
      <c r="B34" s="27" t="n">
        <v>8612</v>
      </c>
      <c r="C34" s="27" t="n"/>
      <c r="D34" s="27" t="n"/>
      <c r="E34" s="27" t="n"/>
      <c r="F34" s="27" t="n"/>
      <c r="G34" s="27" t="n"/>
      <c r="H34" s="27" t="n"/>
    </row>
    <row r="35">
      <c r="A35" s="27" t="inlineStr">
        <is>
          <t>amount_sign_conflict</t>
        </is>
      </c>
      <c r="B35" s="27" t="n">
        <v>6433</v>
      </c>
      <c r="C35" s="27" t="n"/>
      <c r="D35" s="27" t="n"/>
      <c r="E35" s="27" t="n"/>
      <c r="F35" s="27" t="n"/>
      <c r="G35" s="27" t="n"/>
      <c r="H35" s="27" t="n"/>
    </row>
    <row r="36">
      <c r="A36" s="27" t="inlineStr">
        <is>
          <t>missing_counterparty</t>
        </is>
      </c>
      <c r="B36" s="27" t="n">
        <v>5187</v>
      </c>
      <c r="C36" s="27" t="n"/>
      <c r="D36" s="27" t="n"/>
      <c r="E36" s="27" t="n"/>
      <c r="F36" s="27" t="n"/>
      <c r="G36" s="27" t="n"/>
      <c r="H36" s="27" t="n"/>
    </row>
    <row r="37">
      <c r="A37" s="27" t="inlineStr">
        <is>
          <t>future_value_date</t>
        </is>
      </c>
      <c r="B37" s="27" t="n">
        <v>4021</v>
      </c>
      <c r="C37" s="27" t="n"/>
      <c r="D37" s="27" t="n"/>
      <c r="E37" s="27" t="n"/>
      <c r="F37" s="27" t="n"/>
      <c r="G37" s="27" t="n"/>
      <c r="H37" s="27" t="n"/>
    </row>
    <row r="38">
      <c r="A38" s="27" t="inlineStr">
        <is>
          <t>invalid_fx_rate</t>
        </is>
      </c>
      <c r="B38" s="27" t="n">
        <v>2391</v>
      </c>
      <c r="C38" s="27" t="n"/>
      <c r="D38" s="27" t="n"/>
      <c r="E38" s="27" t="n"/>
      <c r="F38" s="27" t="n"/>
      <c r="G38" s="27" t="n"/>
      <c r="H38" s="27" t="n"/>
    </row>
    <row r="39">
      <c r="A39" s="27" t="inlineStr">
        <is>
          <t>account_status_blocked</t>
        </is>
      </c>
      <c r="B39" s="27" t="n">
        <v>1882</v>
      </c>
      <c r="C39" s="27" t="n"/>
      <c r="D39" s="27" t="n"/>
      <c r="E39" s="27" t="n"/>
      <c r="F39" s="27" t="n"/>
      <c r="G39" s="27" t="n"/>
      <c r="H39" s="27" t="n"/>
    </row>
  </sheetData>
  <autoFilter ref="A31:B33"/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7" topLeftCell="A8" activePane="bottomLeft" state="frozen"/>
      <selection pane="bottomLeft" activeCell="A3" sqref="A1:N1048576"/>
    </sheetView>
  </sheetViews>
  <sheetFormatPr baseColWidth="8" defaultRowHeight="15"/>
  <cols>
    <col width="22" bestFit="1" customWidth="1" min="1" max="1"/>
    <col width="22" bestFit="1" customWidth="1" min="2" max="2"/>
    <col width="22" customWidth="1" min="3" max="3"/>
    <col width="22" bestFit="1" customWidth="1" min="4" max="4"/>
    <col width="22" bestFit="1" customWidth="1" min="5" max="5"/>
    <col width="22" customWidth="1" min="6" max="6"/>
    <col width="22" bestFit="1" customWidth="1" min="7" max="7"/>
    <col width="22" bestFit="1" customWidth="1" min="8" max="8"/>
    <col width="5.5703125" bestFit="1" customWidth="1" min="10" max="10"/>
    <col width="2.7109375" bestFit="1" customWidth="1" min="11" max="11"/>
  </cols>
  <sheetData>
    <row r="1" ht="21" customHeight="1">
      <c r="A1" s="11" t="inlineStr">
        <is>
          <t>Duplicate Intelligence</t>
        </is>
      </c>
    </row>
    <row r="2">
      <c r="A2" s="12" t="inlineStr">
        <is>
          <t>Clusters, confidence, and source contribution</t>
        </is>
      </c>
    </row>
    <row r="4" ht="18.75" customHeight="1">
      <c r="A4" s="24" t="inlineStr">
        <is>
          <t>Total pairs</t>
        </is>
      </c>
      <c r="B4" s="25" t="n">
        <v>743</v>
      </c>
      <c r="C4" s="26" t="n"/>
      <c r="D4" s="24" t="inlineStr">
        <is>
          <t>EXACT</t>
        </is>
      </c>
      <c r="E4" s="25" t="n">
        <v>286</v>
      </c>
      <c r="F4" s="26" t="n"/>
      <c r="G4" s="24" t="inlineStr">
        <is>
          <t>FUZZY</t>
        </is>
      </c>
      <c r="H4" s="25" t="n">
        <v>311</v>
      </c>
      <c r="J4" s="3" t="inlineStr">
        <is>
          <t>RETRY</t>
        </is>
      </c>
      <c r="K4" s="5" t="n">
        <v>146</v>
      </c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</row>
    <row r="7">
      <c r="A7" s="39" t="inlineStr">
        <is>
          <t>Classification</t>
        </is>
      </c>
      <c r="B7" s="39" t="inlineStr">
        <is>
          <t>Pair count</t>
        </is>
      </c>
      <c r="C7" s="30" t="n"/>
      <c r="D7" s="30" t="n"/>
      <c r="E7" s="30" t="n"/>
      <c r="F7" s="30" t="n"/>
      <c r="G7" s="30" t="n"/>
      <c r="H7" s="30" t="n"/>
    </row>
    <row r="8">
      <c r="A8" s="33" t="inlineStr">
        <is>
          <t>EXACT_DUPLICATE</t>
        </is>
      </c>
      <c r="B8" s="33" t="n">
        <v>286</v>
      </c>
      <c r="C8" s="27" t="n"/>
      <c r="D8" s="27" t="n"/>
      <c r="E8" s="27" t="n"/>
      <c r="F8" s="27" t="n"/>
      <c r="G8" s="27" t="n"/>
      <c r="H8" s="27" t="n"/>
    </row>
    <row r="9">
      <c r="A9" s="27" t="inlineStr">
        <is>
          <t>FUZZY_DUPLICATE</t>
        </is>
      </c>
      <c r="B9" s="27" t="n">
        <v>311</v>
      </c>
      <c r="C9" s="27" t="n"/>
      <c r="D9" s="27" t="n"/>
      <c r="E9" s="27" t="n"/>
      <c r="F9" s="27" t="n"/>
      <c r="G9" s="27" t="n"/>
      <c r="H9" s="27" t="n"/>
    </row>
    <row r="10">
      <c r="A10" s="27" t="inlineStr">
        <is>
          <t>RETRY_REPLAY</t>
        </is>
      </c>
      <c r="B10" s="27" t="n">
        <v>146</v>
      </c>
      <c r="C10" s="27" t="n"/>
      <c r="D10" s="27" t="n"/>
      <c r="E10" s="27" t="n"/>
      <c r="F10" s="27" t="n"/>
      <c r="G10" s="27" t="n"/>
      <c r="H10" s="27" t="n"/>
    </row>
    <row r="11">
      <c r="A11" s="32" t="inlineStr">
        <is>
          <t>Confidence tier</t>
        </is>
      </c>
      <c r="B11" s="32" t="inlineStr">
        <is>
          <t>Pairs</t>
        </is>
      </c>
      <c r="C11" s="27" t="n"/>
      <c r="D11" s="27" t="n"/>
      <c r="E11" s="27" t="n"/>
      <c r="F11" s="27" t="n"/>
      <c r="G11" s="27" t="n"/>
      <c r="H11" s="27" t="n"/>
    </row>
    <row r="12">
      <c r="A12" s="33" t="inlineStr">
        <is>
          <t>95-100</t>
        </is>
      </c>
      <c r="B12" s="33" t="n">
        <v>264</v>
      </c>
      <c r="C12" s="27" t="n"/>
      <c r="D12" s="27" t="n"/>
      <c r="E12" s="27" t="n"/>
      <c r="F12" s="27" t="n"/>
      <c r="G12" s="27" t="n"/>
      <c r="H12" s="27" t="n"/>
    </row>
    <row r="13">
      <c r="A13" s="30" t="inlineStr">
        <is>
          <t>80-94</t>
        </is>
      </c>
      <c r="B13" s="30" t="n">
        <v>291</v>
      </c>
      <c r="C13" s="30" t="n"/>
      <c r="D13" s="30" t="n"/>
      <c r="E13" s="30" t="n"/>
      <c r="F13" s="30" t="n"/>
      <c r="G13" s="30" t="n"/>
      <c r="H13" s="30" t="n"/>
    </row>
    <row r="14">
      <c r="A14" s="27" t="inlineStr">
        <is>
          <t>60-79</t>
        </is>
      </c>
      <c r="B14" s="27" t="n">
        <v>144</v>
      </c>
      <c r="C14" s="27" t="n"/>
      <c r="D14" s="27" t="n"/>
      <c r="E14" s="27" t="n"/>
      <c r="F14" s="27" t="n"/>
      <c r="G14" s="27" t="n"/>
      <c r="H14" s="27" t="n"/>
    </row>
    <row r="15">
      <c r="A15" s="27" t="inlineStr">
        <is>
          <t>lt60</t>
        </is>
      </c>
      <c r="B15" s="27" t="n">
        <v>44</v>
      </c>
      <c r="C15" s="27" t="n"/>
      <c r="D15" s="27" t="n"/>
      <c r="E15" s="27" t="n"/>
      <c r="F15" s="27" t="n"/>
      <c r="G15" s="27" t="n"/>
      <c r="H15" s="27" t="n"/>
    </row>
    <row r="16">
      <c r="A16" s="27" t="n"/>
      <c r="B16" s="27" t="n"/>
      <c r="C16" s="27" t="n"/>
      <c r="D16" s="27" t="inlineStr">
        <is>
          <t>Retry-heavy payment corridors account for a disproportionate share of duplicate alerts.</t>
        </is>
      </c>
      <c r="E16" s="27" t="n"/>
      <c r="F16" s="27" t="n"/>
      <c r="G16" s="27" t="n"/>
      <c r="H16" s="27" t="n"/>
    </row>
  </sheetData>
  <autoFilter ref="A11:B12"/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3" sqref="A1:O1048576"/>
    </sheetView>
  </sheetViews>
  <sheetFormatPr baseColWidth="8" defaultRowHeight="15"/>
  <cols>
    <col width="22" bestFit="1" customWidth="1" min="1" max="1"/>
    <col width="22" bestFit="1" customWidth="1" min="2" max="2"/>
    <col width="22" customWidth="1" min="3" max="3"/>
    <col width="22" bestFit="1" customWidth="1" min="4" max="4"/>
    <col width="22" bestFit="1" customWidth="1" min="5" max="5"/>
    <col width="22" customWidth="1" min="6" max="6"/>
    <col width="22" bestFit="1" customWidth="1" min="7" max="7"/>
    <col width="22" bestFit="1" customWidth="1" min="8" max="8"/>
    <col width="10.85546875" bestFit="1" customWidth="1" min="10" max="10"/>
    <col width="4.5703125" bestFit="1" customWidth="1" min="11" max="11"/>
  </cols>
  <sheetData>
    <row r="1" ht="21" customHeight="1">
      <c r="A1" s="11" t="inlineStr">
        <is>
          <t>FX and Value Variance</t>
        </is>
      </c>
    </row>
    <row r="2">
      <c r="A2" s="12" t="inlineStr">
        <is>
          <t>Explained vs unexplained variance</t>
        </is>
      </c>
    </row>
    <row r="4" ht="18.75" customHeight="1">
      <c r="A4" s="24" t="inlineStr">
        <is>
          <t>FX rows in mart</t>
        </is>
      </c>
      <c r="B4" s="25" t="n">
        <v>418962</v>
      </c>
      <c r="C4" s="26" t="n"/>
      <c r="D4" s="24" t="inlineStr">
        <is>
          <t>Tolerance breaches</t>
        </is>
      </c>
      <c r="E4" s="25" t="n">
        <v>6412</v>
      </c>
      <c r="F4" s="26" t="n"/>
      <c r="G4" s="24" t="inlineStr">
        <is>
          <t>Currency pairs</t>
        </is>
      </c>
      <c r="H4" s="25" t="n">
        <v>27</v>
      </c>
      <c r="J4" s="3" t="inlineStr">
        <is>
          <t>Base currency</t>
        </is>
      </c>
      <c r="K4" s="8" t="inlineStr">
        <is>
          <t>USD</t>
        </is>
      </c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76.5" customHeight="1">
      <c r="A7" s="42" t="inlineStr">
        <is>
          <t>Currency Pair</t>
        </is>
      </c>
      <c r="B7" s="30" t="inlineStr">
        <is>
          <t>Rows</t>
        </is>
      </c>
      <c r="C7" s="30" t="n"/>
      <c r="D7" s="30" t="inlineStr">
        <is>
          <t>Tolerance breaches</t>
        </is>
      </c>
      <c r="E7" s="30" t="n"/>
      <c r="F7" s="30" t="inlineStr">
        <is>
          <t>Net unexplained variance</t>
        </is>
      </c>
      <c r="G7" s="30" t="n"/>
      <c r="H7" s="30" t="n"/>
    </row>
    <row r="8">
      <c r="A8" s="27" t="inlineStr">
        <is>
          <t>USD/BRL</t>
        </is>
      </c>
      <c r="B8" s="27" t="n">
        <v>96834</v>
      </c>
      <c r="C8" s="27" t="n"/>
      <c r="D8" s="27" t="n">
        <v>2117</v>
      </c>
      <c r="E8" s="27" t="n"/>
      <c r="F8" s="27" t="n">
        <v>1822404.81</v>
      </c>
      <c r="G8" s="27" t="n"/>
      <c r="H8" s="27" t="n"/>
    </row>
    <row r="9">
      <c r="A9" s="27" t="inlineStr">
        <is>
          <t>USD/MXN</t>
        </is>
      </c>
      <c r="B9" s="27" t="n">
        <v>88417</v>
      </c>
      <c r="C9" s="27" t="n"/>
      <c r="D9" s="27" t="n">
        <v>1472</v>
      </c>
      <c r="E9" s="27" t="n"/>
      <c r="F9" s="27" t="n">
        <v>1213398.45</v>
      </c>
      <c r="G9" s="27" t="n"/>
      <c r="H9" s="27" t="n"/>
    </row>
    <row r="10">
      <c r="A10" s="27" t="inlineStr">
        <is>
          <t>EUR/USD</t>
        </is>
      </c>
      <c r="B10" s="27" t="n">
        <v>72661</v>
      </c>
      <c r="C10" s="27" t="n"/>
      <c r="D10" s="27" t="n">
        <v>931</v>
      </c>
      <c r="E10" s="27" t="n"/>
      <c r="F10" s="27" t="n">
        <v>684117.29</v>
      </c>
      <c r="G10" s="27" t="n"/>
      <c r="H10" s="27" t="n"/>
    </row>
    <row r="11">
      <c r="A11" s="27" t="inlineStr">
        <is>
          <t>USD/JPY</t>
        </is>
      </c>
      <c r="B11" s="27" t="n">
        <v>64113</v>
      </c>
      <c r="C11" s="27" t="n"/>
      <c r="D11" s="27" t="n">
        <v>842</v>
      </c>
      <c r="E11" s="27" t="n"/>
      <c r="F11" s="27" t="n">
        <v>593882.16</v>
      </c>
      <c r="G11" s="27" t="n"/>
      <c r="H11" s="27" t="n"/>
    </row>
    <row r="12">
      <c r="A12" s="27" t="inlineStr">
        <is>
          <t>USD/SGD</t>
        </is>
      </c>
      <c r="B12" s="27" t="n">
        <v>52309</v>
      </c>
      <c r="C12" s="27" t="n"/>
      <c r="D12" s="27" t="n">
        <v>608</v>
      </c>
      <c r="E12" s="27" t="n"/>
      <c r="F12" s="27" t="n">
        <v>311244.77</v>
      </c>
      <c r="G12" s="27" t="n"/>
      <c r="H12" s="27" t="n"/>
    </row>
    <row r="13">
      <c r="A13" s="30" t="inlineStr">
        <is>
          <t>USD/HKD</t>
        </is>
      </c>
      <c r="B13" s="30" t="n">
        <v>44728</v>
      </c>
      <c r="C13" s="30" t="n"/>
      <c r="D13" s="30" t="n">
        <v>442</v>
      </c>
      <c r="E13" s="30" t="n"/>
      <c r="F13" s="30" t="n">
        <v>201808.64</v>
      </c>
      <c r="G13" s="30" t="n"/>
      <c r="H13" s="30" t="n"/>
    </row>
  </sheetData>
  <mergeCells count="2">
    <mergeCell ref="A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F18" sqref="F18"/>
    </sheetView>
  </sheetViews>
  <sheetFormatPr baseColWidth="8" defaultRowHeight="15"/>
  <cols>
    <col width="22" bestFit="1" customWidth="1" min="1" max="1"/>
    <col width="22" bestFit="1" customWidth="1" min="2" max="2"/>
    <col width="22" bestFit="1" customWidth="1" min="3" max="3"/>
    <col width="22" bestFit="1" customWidth="1" min="4" max="4"/>
    <col width="22" bestFit="1" customWidth="1" min="5" max="5"/>
    <col width="22" bestFit="1" customWidth="1" min="6" max="6"/>
    <col width="22" bestFit="1" customWidth="1" min="7" max="7"/>
    <col width="22" bestFit="1" customWidth="1" min="8" max="8"/>
  </cols>
  <sheetData>
    <row r="1" ht="21" customHeight="1">
      <c r="A1" s="11" t="inlineStr">
        <is>
          <t>Exception and Breaks Desk</t>
        </is>
      </c>
    </row>
    <row r="2">
      <c r="A2" s="12" t="inlineStr">
        <is>
          <t>Actionable operational register</t>
        </is>
      </c>
    </row>
    <row r="4" ht="30" customHeight="1">
      <c r="A4" s="40" t="inlineStr">
        <is>
          <t>Exception ID</t>
        </is>
      </c>
      <c r="B4" s="40" t="inlineStr">
        <is>
          <t>Severity</t>
        </is>
      </c>
      <c r="C4" s="40" t="inlineStr">
        <is>
          <t>Category</t>
        </is>
      </c>
      <c r="D4" s="40" t="inlineStr">
        <is>
          <t>Status</t>
        </is>
      </c>
      <c r="E4" s="40" t="inlineStr">
        <is>
          <t>Owner</t>
        </is>
      </c>
      <c r="F4" s="40" t="inlineStr">
        <is>
          <t>Aging</t>
        </is>
      </c>
      <c r="G4" s="40" t="inlineStr">
        <is>
          <t>Required action</t>
        </is>
      </c>
      <c r="H4" s="40" t="inlineStr">
        <is>
          <t>Confidence</t>
        </is>
      </c>
    </row>
    <row r="5">
      <c r="A5" s="33" t="inlineStr">
        <is>
          <t>EXC-0001</t>
        </is>
      </c>
      <c r="B5" s="33" t="inlineStr">
        <is>
          <t>S4</t>
        </is>
      </c>
      <c r="C5" s="33" t="inlineStr">
        <is>
          <t>Missing settlement</t>
        </is>
      </c>
      <c r="D5" s="33" t="inlineStr">
        <is>
          <t>OPEN</t>
        </is>
      </c>
      <c r="E5" s="33" t="inlineStr">
        <is>
          <t>LATAM Recon Lead</t>
        </is>
      </c>
      <c r="F5" s="33" t="inlineStr">
        <is>
          <t>34 days</t>
        </is>
      </c>
      <c r="G5" s="33" t="inlineStr">
        <is>
          <t>Obtain counterparty settlement confirmation and clear aged break</t>
        </is>
      </c>
      <c r="H5" s="33" t="n">
        <v>91</v>
      </c>
    </row>
    <row r="6">
      <c r="A6" s="27" t="inlineStr">
        <is>
          <t>EXC-0002</t>
        </is>
      </c>
      <c r="B6" s="27" t="inlineStr">
        <is>
          <t>S3</t>
        </is>
      </c>
      <c r="C6" s="27" t="inlineStr">
        <is>
          <t>Amount mismatch</t>
        </is>
      </c>
      <c r="D6" s="27" t="inlineStr">
        <is>
          <t>OPEN</t>
        </is>
      </c>
      <c r="E6" s="27" t="inlineStr">
        <is>
          <t>US Custody Ops</t>
        </is>
      </c>
      <c r="F6" s="27" t="inlineStr">
        <is>
          <t>12 days</t>
        </is>
      </c>
      <c r="G6" s="27" t="inlineStr">
        <is>
          <t>Validate broker advice against nostro movement</t>
        </is>
      </c>
      <c r="H6" s="27" t="n">
        <v>84</v>
      </c>
    </row>
    <row r="7">
      <c r="A7" s="27" t="inlineStr">
        <is>
          <t>EXC-0003</t>
        </is>
      </c>
      <c r="B7" s="27" t="inlineStr">
        <is>
          <t>S2</t>
        </is>
      </c>
      <c r="C7" s="27" t="inlineStr">
        <is>
          <t>Date mismatch</t>
        </is>
      </c>
      <c r="D7" s="27" t="inlineStr">
        <is>
          <t>IN_PROGRESS</t>
        </is>
      </c>
      <c r="E7" s="27" t="inlineStr">
        <is>
          <t>APAC Market Ops</t>
        </is>
      </c>
      <c r="F7" s="27" t="inlineStr">
        <is>
          <t>5 days</t>
        </is>
      </c>
      <c r="G7" s="27" t="inlineStr">
        <is>
          <t>Confirm holiday calendar offset and rebook if required</t>
        </is>
      </c>
      <c r="H7" s="27" t="n">
        <v>78</v>
      </c>
    </row>
    <row r="8">
      <c r="A8" s="27" t="inlineStr">
        <is>
          <t>EXC-0004</t>
        </is>
      </c>
      <c r="B8" s="27" t="inlineStr">
        <is>
          <t>S4</t>
        </is>
      </c>
      <c r="C8" s="27" t="inlineStr">
        <is>
          <t>Duplicate replay</t>
        </is>
      </c>
      <c r="D8" s="27" t="inlineStr">
        <is>
          <t>ESCALATED</t>
        </is>
      </c>
      <c r="E8" s="27" t="inlineStr">
        <is>
          <t>Global Payments Control</t>
        </is>
      </c>
      <c r="F8" s="27" t="inlineStr">
        <is>
          <t>18 days</t>
        </is>
      </c>
      <c r="G8" s="27" t="inlineStr">
        <is>
          <t>Suppress replayed retries and reverse duplicate posting</t>
        </is>
      </c>
      <c r="H8" s="27" t="n">
        <v>88</v>
      </c>
    </row>
    <row r="9">
      <c r="A9" s="27" t="inlineStr">
        <is>
          <t>EXC-0005</t>
        </is>
      </c>
      <c r="B9" s="27" t="inlineStr">
        <is>
          <t>S3</t>
        </is>
      </c>
      <c r="C9" s="27" t="inlineStr">
        <is>
          <t>FX variance</t>
        </is>
      </c>
      <c r="D9" s="27" t="inlineStr">
        <is>
          <t>OPEN</t>
        </is>
      </c>
      <c r="E9" s="27" t="inlineStr">
        <is>
          <t>Treasury Control</t>
        </is>
      </c>
      <c r="F9" s="27" t="inlineStr">
        <is>
          <t>9 days</t>
        </is>
      </c>
      <c r="G9" s="27" t="inlineStr">
        <is>
          <t>Reprice with approved market data source</t>
        </is>
      </c>
      <c r="H9" s="27" t="n">
        <v>81</v>
      </c>
    </row>
    <row r="10">
      <c r="A10" s="27" t="inlineStr">
        <is>
          <t>EXC-0006</t>
        </is>
      </c>
      <c r="B10" s="27" t="inlineStr">
        <is>
          <t>S5</t>
        </is>
      </c>
      <c r="C10" s="27" t="inlineStr">
        <is>
          <t>Mandatory field breach</t>
        </is>
      </c>
      <c r="D10" s="27" t="inlineStr">
        <is>
          <t>OPEN</t>
        </is>
      </c>
      <c r="E10" s="27" t="inlineStr">
        <is>
          <t>Source Data Governance</t>
        </is>
      </c>
      <c r="F10" s="27" t="inlineStr">
        <is>
          <t>2 days</t>
        </is>
      </c>
      <c r="G10" s="27" t="inlineStr">
        <is>
          <t>Repair source transaction identifiers before rerun</t>
        </is>
      </c>
      <c r="H10" s="27" t="n">
        <v>97</v>
      </c>
    </row>
    <row r="11">
      <c r="A11" s="27" t="inlineStr">
        <is>
          <t>EXC-0007</t>
        </is>
      </c>
      <c r="B11" s="27" t="inlineStr">
        <is>
          <t>S2</t>
        </is>
      </c>
      <c r="C11" s="27" t="inlineStr">
        <is>
          <t>Partial match</t>
        </is>
      </c>
      <c r="D11" s="27" t="inlineStr">
        <is>
          <t>IN_PROGRESS</t>
        </is>
      </c>
      <c r="E11" s="27" t="inlineStr">
        <is>
          <t>EMEA Securities Ops</t>
        </is>
      </c>
      <c r="F11" s="27" t="inlineStr">
        <is>
          <t>7 days</t>
        </is>
      </c>
      <c r="G11" s="27" t="inlineStr">
        <is>
          <t>Attach missing settlement narrative and resubmit</t>
        </is>
      </c>
      <c r="H11" s="27" t="n">
        <v>72</v>
      </c>
    </row>
    <row r="12">
      <c r="A12" s="27" t="inlineStr">
        <is>
          <t>EXC-0008</t>
        </is>
      </c>
      <c r="B12" s="27" t="inlineStr">
        <is>
          <t>S3</t>
        </is>
      </c>
      <c r="C12" s="27" t="inlineStr">
        <is>
          <t>Missing counterparty</t>
        </is>
      </c>
      <c r="D12" s="27" t="inlineStr">
        <is>
          <t>OPEN</t>
        </is>
      </c>
      <c r="E12" s="27" t="inlineStr">
        <is>
          <t>SG Corp Bank Ops</t>
        </is>
      </c>
      <c r="F12" s="27" t="inlineStr">
        <is>
          <t>15 days</t>
        </is>
      </c>
      <c r="G12" s="27" t="inlineStr">
        <is>
          <t>Complete counterparty enrichment and reattempt match</t>
        </is>
      </c>
      <c r="H12" s="27" t="n">
        <v>76</v>
      </c>
    </row>
    <row r="13">
      <c r="A13" s="27" t="inlineStr">
        <is>
          <t>EXC-0009</t>
        </is>
      </c>
      <c r="B13" s="27" t="inlineStr">
        <is>
          <t>S4</t>
        </is>
      </c>
      <c r="C13" s="27" t="inlineStr">
        <is>
          <t>Aged unresolved break</t>
        </is>
      </c>
      <c r="D13" s="27" t="inlineStr">
        <is>
          <t>ESCALATED</t>
        </is>
      </c>
      <c r="E13" s="27" t="inlineStr">
        <is>
          <t>BR Operations Control</t>
        </is>
      </c>
      <c r="F13" s="27" t="inlineStr">
        <is>
          <t>41 days</t>
        </is>
      </c>
      <c r="G13" s="27" t="inlineStr">
        <is>
          <t>Close or provision the long-dated open item</t>
        </is>
      </c>
      <c r="H13" s="27" t="n">
        <v>89</v>
      </c>
    </row>
    <row r="14">
      <c r="A14" s="27" t="inlineStr">
        <is>
          <t>EXC-0010</t>
        </is>
      </c>
      <c r="B14" s="27" t="inlineStr">
        <is>
          <t>S1</t>
        </is>
      </c>
      <c r="C14" s="27" t="inlineStr">
        <is>
          <t>Documentation gap</t>
        </is>
      </c>
      <c r="D14" s="27" t="inlineStr">
        <is>
          <t>MONITOR</t>
        </is>
      </c>
      <c r="E14" s="27" t="inlineStr">
        <is>
          <t>Audit Liaison</t>
        </is>
      </c>
      <c r="F14" s="27" t="inlineStr">
        <is>
          <t>3 days</t>
        </is>
      </c>
      <c r="G14" s="27" t="inlineStr">
        <is>
          <t>Capture missing evidence in audit pack</t>
        </is>
      </c>
      <c r="H14" s="27" t="n">
        <v>66</v>
      </c>
    </row>
  </sheetData>
  <autoFilter ref="A4:H5"/>
  <mergeCells count="2">
    <mergeCell ref="A2:H2"/>
    <mergeCell ref="A1:H1"/>
  </mergeCells>
  <conditionalFormatting sqref="B6">
    <cfRule type="containsText" priority="1" operator="containsText" dxfId="1" text="S5">
      <formula>NOT(ISERROR(SEARCH("S5",B6)))</formula>
    </cfRule>
    <cfRule type="containsText" priority="2" operator="containsText" dxfId="0" text="S4">
      <formula>NOT(ISERROR(SEARCH("S4",B6)))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7" topLeftCell="A8" activePane="bottomLeft" state="frozen"/>
      <selection pane="bottomLeft" activeCell="A3" sqref="A1:O1048576"/>
    </sheetView>
  </sheetViews>
  <sheetFormatPr baseColWidth="8" defaultRowHeight="15"/>
  <cols>
    <col width="22" bestFit="1" customWidth="1" min="1" max="1"/>
    <col width="22" bestFit="1" customWidth="1" min="2" max="2"/>
    <col width="22" customWidth="1" min="3" max="3"/>
    <col width="22" bestFit="1" customWidth="1" min="4" max="4"/>
    <col width="22" bestFit="1" customWidth="1" min="5" max="5"/>
    <col width="22" customWidth="1" min="6" max="6"/>
    <col width="22" bestFit="1" customWidth="1" min="7" max="7"/>
    <col width="22" bestFit="1" customWidth="1" min="8" max="8"/>
    <col width="8.7109375" bestFit="1" customWidth="1" min="10" max="10"/>
    <col width="8.28515625" bestFit="1" customWidth="1" min="11" max="11"/>
  </cols>
  <sheetData>
    <row r="1" ht="21" customHeight="1">
      <c r="A1" s="11" t="inlineStr">
        <is>
          <t>Unresolved Exposure Register</t>
        </is>
      </c>
    </row>
    <row r="2">
      <c r="A2" s="12" t="inlineStr">
        <is>
          <t>Concentration and aging</t>
        </is>
      </c>
    </row>
    <row r="4" ht="18.75" customHeight="1">
      <c r="A4" s="24" t="inlineStr">
        <is>
          <t>Unresolved count</t>
        </is>
      </c>
      <c r="B4" s="25" t="n">
        <v>117521</v>
      </c>
      <c r="C4" s="26" t="n"/>
      <c r="D4" s="24" t="inlineStr">
        <is>
          <t>Aged breaks</t>
        </is>
      </c>
      <c r="E4" s="25" t="n">
        <v>684</v>
      </c>
      <c r="F4" s="26" t="n"/>
      <c r="G4" s="24" t="inlineStr">
        <is>
          <t>Open register items</t>
        </is>
      </c>
      <c r="H4" s="25" t="n">
        <v>3921</v>
      </c>
      <c r="J4" s="3" t="inlineStr">
        <is>
          <t>Match rate</t>
        </is>
      </c>
      <c r="K4" s="4" t="n">
        <v>0.9641</v>
      </c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</row>
    <row r="7">
      <c r="A7" s="39" t="inlineStr">
        <is>
          <t>Aging bucket</t>
        </is>
      </c>
      <c r="B7" s="39" t="inlineStr">
        <is>
          <t>Exposure count</t>
        </is>
      </c>
      <c r="C7" s="30" t="n"/>
      <c r="D7" s="30" t="inlineStr">
        <is>
          <t>Bucket share</t>
        </is>
      </c>
      <c r="E7" s="30" t="n"/>
      <c r="F7" s="30" t="inlineStr">
        <is>
          <t>USD exposure</t>
        </is>
      </c>
      <c r="G7" s="30" t="n"/>
      <c r="H7" s="30" t="n"/>
    </row>
    <row r="8">
      <c r="A8" s="33" t="inlineStr">
        <is>
          <t>0-1 days</t>
        </is>
      </c>
      <c r="B8" s="33" t="n">
        <v>28412</v>
      </c>
      <c r="C8" s="27" t="n"/>
      <c r="D8" s="27" t="n">
        <v>0.2418</v>
      </c>
      <c r="E8" s="27" t="n"/>
      <c r="F8" s="27" t="n">
        <v>14218440.66</v>
      </c>
      <c r="G8" s="27" t="n"/>
      <c r="H8" s="27" t="n"/>
    </row>
    <row r="9">
      <c r="A9" s="35" t="inlineStr">
        <is>
          <t>2-7 days</t>
        </is>
      </c>
      <c r="B9" s="35" t="n">
        <v>40355</v>
      </c>
      <c r="C9" s="27" t="n"/>
      <c r="D9" s="27" t="n">
        <v>0.3434</v>
      </c>
      <c r="E9" s="27" t="n"/>
      <c r="F9" s="27" t="n">
        <v>19855221.73</v>
      </c>
      <c r="G9" s="27" t="n"/>
      <c r="H9" s="27" t="n"/>
    </row>
    <row r="10">
      <c r="A10" s="33" t="inlineStr">
        <is>
          <t>8-30 days</t>
        </is>
      </c>
      <c r="B10" s="33" t="n">
        <v>48070</v>
      </c>
      <c r="C10" s="27" t="n"/>
      <c r="D10" s="27" t="n">
        <v>0.4091</v>
      </c>
      <c r="E10" s="27" t="n"/>
      <c r="F10" s="27" t="n">
        <v>27356737.85</v>
      </c>
      <c r="G10" s="27" t="n"/>
      <c r="H10" s="27" t="n"/>
    </row>
    <row r="11">
      <c r="A11" s="35" t="inlineStr">
        <is>
          <t>31+ days</t>
        </is>
      </c>
      <c r="B11" s="35" t="n">
        <v>684</v>
      </c>
      <c r="C11" s="27" t="n"/>
      <c r="D11" s="27" t="n">
        <v>0.0058</v>
      </c>
      <c r="E11" s="27" t="n"/>
      <c r="F11" s="27" t="n">
        <v>123627950.18</v>
      </c>
      <c r="G11" s="27" t="n"/>
      <c r="H11" s="27" t="n"/>
    </row>
  </sheetData>
  <autoFilter ref="A7:B11"/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pane ySplit="4" topLeftCell="A5" activePane="bottomLeft" state="frozen"/>
      <selection pane="bottomLeft" activeCell="A3" sqref="A1:M1048576"/>
    </sheetView>
  </sheetViews>
  <sheetFormatPr baseColWidth="8" defaultRowHeight="15"/>
  <cols>
    <col width="22" bestFit="1" customWidth="1" min="1" max="1"/>
    <col width="22" bestFit="1" customWidth="1" min="2" max="2"/>
    <col width="22" bestFit="1" customWidth="1" min="3" max="3"/>
    <col width="22" bestFit="1" customWidth="1" min="4" max="4"/>
    <col width="22" bestFit="1" customWidth="1" min="5" max="5"/>
    <col width="22" bestFit="1" customWidth="1" min="6" max="6"/>
    <col width="22" bestFit="1" customWidth="1" min="7" max="7"/>
    <col width="22" bestFit="1" customWidth="1" min="8" max="9"/>
    <col width="12.42578125" bestFit="1" customWidth="1" min="10" max="10"/>
  </cols>
  <sheetData>
    <row r="1" ht="21" customHeight="1">
      <c r="A1" s="11" t="inlineStr">
        <is>
          <t>Entity &amp; Account Performance</t>
        </is>
      </c>
    </row>
    <row r="2">
      <c r="A2" s="12" t="inlineStr">
        <is>
          <t>Source-level control metrics</t>
        </is>
      </c>
    </row>
    <row r="4">
      <c r="A4" s="40" t="inlineStr">
        <is>
          <t>Entity</t>
        </is>
      </c>
      <c r="B4" s="40" t="inlineStr">
        <is>
          <t>Region</t>
        </is>
      </c>
      <c r="C4" s="40" t="inlineStr">
        <is>
          <t>Processed</t>
        </is>
      </c>
      <c r="D4" s="40" t="inlineStr">
        <is>
          <t>Valid</t>
        </is>
      </c>
      <c r="E4" s="40" t="inlineStr">
        <is>
          <t>Rejected</t>
        </is>
      </c>
      <c r="F4" s="40" t="inlineStr">
        <is>
          <t>Open exceptions</t>
        </is>
      </c>
      <c r="G4" s="40" t="inlineStr">
        <is>
          <t>Unresolved USD</t>
        </is>
      </c>
      <c r="H4" s="40" t="inlineStr">
        <is>
          <t>Duplicate pairs</t>
        </is>
      </c>
      <c r="I4" s="14" t="inlineStr">
        <is>
          <t>S3</t>
        </is>
      </c>
      <c r="J4" s="14" t="inlineStr">
        <is>
          <t>Dup txn</t>
        </is>
      </c>
    </row>
    <row r="5">
      <c r="A5" s="33" t="inlineStr">
        <is>
          <t>GBL_UK_PAYMENTS</t>
        </is>
      </c>
      <c r="B5" s="33" t="inlineStr">
        <is>
          <t>EMEA</t>
        </is>
      </c>
      <c r="C5" s="33" t="n">
        <v>384212</v>
      </c>
      <c r="D5" s="33" t="n">
        <v>361992</v>
      </c>
      <c r="E5" s="33" t="n">
        <v>22220</v>
      </c>
      <c r="F5" s="33" t="n">
        <v>21</v>
      </c>
      <c r="G5" s="33" t="n">
        <v>1822044.11</v>
      </c>
      <c r="H5" s="33" t="n">
        <v>44</v>
      </c>
      <c r="I5" s="8" t="n">
        <v>0</v>
      </c>
      <c r="J5" s="8" t="n">
        <v>698</v>
      </c>
    </row>
    <row r="6">
      <c r="A6" s="35" t="inlineStr">
        <is>
          <t>GBL_DE_TREASURY</t>
        </is>
      </c>
      <c r="B6" s="35" t="inlineStr">
        <is>
          <t>EMEA</t>
        </is>
      </c>
      <c r="C6" s="35" t="n">
        <v>301991</v>
      </c>
      <c r="D6" s="35" t="n">
        <v>279993</v>
      </c>
      <c r="E6" s="35" t="n">
        <v>21998</v>
      </c>
      <c r="F6" s="35" t="n">
        <v>47</v>
      </c>
      <c r="G6" s="35" t="n">
        <v>6128430.61</v>
      </c>
      <c r="H6" s="35" t="n">
        <v>58</v>
      </c>
      <c r="I6" s="9" t="n">
        <v>0</v>
      </c>
      <c r="J6" s="9" t="n">
        <v>698</v>
      </c>
    </row>
    <row r="7">
      <c r="A7" s="33" t="inlineStr">
        <is>
          <t>GBL_FR_SECURITIES</t>
        </is>
      </c>
      <c r="B7" s="33" t="inlineStr">
        <is>
          <t>EMEA</t>
        </is>
      </c>
      <c r="C7" s="33" t="n">
        <v>242774</v>
      </c>
      <c r="D7" s="33" t="n">
        <v>232681</v>
      </c>
      <c r="E7" s="33" t="n">
        <v>10093</v>
      </c>
      <c r="F7" s="33" t="n">
        <v>18</v>
      </c>
      <c r="G7" s="33" t="n">
        <v>944180.25</v>
      </c>
      <c r="H7" s="33" t="n">
        <v>23</v>
      </c>
      <c r="I7" s="8" t="n">
        <v>0</v>
      </c>
      <c r="J7" s="8" t="n">
        <v>698</v>
      </c>
    </row>
    <row r="8">
      <c r="A8" s="35" t="inlineStr">
        <is>
          <t>GBL_SG_CORP_BANK</t>
        </is>
      </c>
      <c r="B8" s="35" t="inlineStr">
        <is>
          <t>APAC</t>
        </is>
      </c>
      <c r="C8" s="35" t="n">
        <v>356402</v>
      </c>
      <c r="D8" s="35" t="n">
        <v>311957</v>
      </c>
      <c r="E8" s="35" t="n">
        <v>44445</v>
      </c>
      <c r="F8" s="35" t="n">
        <v>52</v>
      </c>
      <c r="G8" s="35" t="n">
        <v>8541231.880000001</v>
      </c>
      <c r="H8" s="35" t="n">
        <v>73</v>
      </c>
      <c r="I8" s="9" t="n">
        <v>0</v>
      </c>
      <c r="J8" s="9" t="n">
        <v>0</v>
      </c>
    </row>
    <row r="9">
      <c r="A9" s="33" t="inlineStr">
        <is>
          <t>GBL_HK_SETTLEMENTS</t>
        </is>
      </c>
      <c r="B9" s="33" t="inlineStr">
        <is>
          <t>APAC</t>
        </is>
      </c>
      <c r="C9" s="33" t="n">
        <v>287551</v>
      </c>
      <c r="D9" s="33" t="n">
        <v>248909</v>
      </c>
      <c r="E9" s="33" t="n">
        <v>38642</v>
      </c>
      <c r="F9" s="33" t="n">
        <v>41</v>
      </c>
      <c r="G9" s="33" t="n">
        <v>3011276.43</v>
      </c>
      <c r="H9" s="33" t="n">
        <v>49</v>
      </c>
      <c r="I9" s="8" t="n">
        <v>0</v>
      </c>
      <c r="J9" s="8" t="n">
        <v>0</v>
      </c>
    </row>
    <row r="10">
      <c r="A10" s="35" t="inlineStr">
        <is>
          <t>GBL_JP_MARKETS</t>
        </is>
      </c>
      <c r="B10" s="35" t="inlineStr">
        <is>
          <t>APAC</t>
        </is>
      </c>
      <c r="C10" s="35" t="n">
        <v>221670</v>
      </c>
      <c r="D10" s="35" t="n">
        <v>209144</v>
      </c>
      <c r="E10" s="35" t="n">
        <v>12526</v>
      </c>
      <c r="F10" s="35" t="n">
        <v>17</v>
      </c>
      <c r="G10" s="35" t="n">
        <v>775640.83</v>
      </c>
      <c r="H10" s="35" t="n">
        <v>19</v>
      </c>
      <c r="I10" s="9" t="n">
        <v>0</v>
      </c>
      <c r="J10" s="9" t="n">
        <v>0</v>
      </c>
    </row>
    <row r="11">
      <c r="A11" s="33" t="inlineStr">
        <is>
          <t>GBL_US_CUSTODY</t>
        </is>
      </c>
      <c r="B11" s="33" t="inlineStr">
        <is>
          <t>AMER</t>
        </is>
      </c>
      <c r="C11" s="33" t="n">
        <v>466228</v>
      </c>
      <c r="D11" s="33" t="n">
        <v>419910</v>
      </c>
      <c r="E11" s="33" t="n">
        <v>46318</v>
      </c>
      <c r="F11" s="33" t="n">
        <v>63</v>
      </c>
      <c r="G11" s="33" t="n">
        <v>18734992.17</v>
      </c>
      <c r="H11" s="33" t="n">
        <v>106</v>
      </c>
      <c r="I11" s="8" t="n">
        <v>0</v>
      </c>
      <c r="J11" s="8" t="n">
        <v>0</v>
      </c>
    </row>
    <row r="12">
      <c r="A12" s="35" t="inlineStr">
        <is>
          <t>GBL_CA_LIQUIDITY</t>
        </is>
      </c>
      <c r="B12" s="35" t="inlineStr">
        <is>
          <t>AMER</t>
        </is>
      </c>
      <c r="C12" s="35" t="n">
        <v>198117</v>
      </c>
      <c r="D12" s="35" t="n">
        <v>188070</v>
      </c>
      <c r="E12" s="35" t="n">
        <v>10047</v>
      </c>
      <c r="F12" s="35" t="n">
        <v>11</v>
      </c>
      <c r="G12" s="35" t="n">
        <v>552781.09</v>
      </c>
      <c r="H12" s="35" t="n">
        <v>14</v>
      </c>
      <c r="I12" s="9" t="n">
        <v>0</v>
      </c>
      <c r="J12" s="9" t="n">
        <v>0</v>
      </c>
    </row>
    <row r="13">
      <c r="A13" s="33" t="inlineStr">
        <is>
          <t>GBL_BR_OPERATIONS</t>
        </is>
      </c>
      <c r="B13" s="33" t="inlineStr">
        <is>
          <t>LATAM</t>
        </is>
      </c>
      <c r="C13" s="33" t="n">
        <v>344995</v>
      </c>
      <c r="D13" s="33" t="n">
        <v>293754</v>
      </c>
      <c r="E13" s="33" t="n">
        <v>51241</v>
      </c>
      <c r="F13" s="33" t="n">
        <v>84</v>
      </c>
      <c r="G13" s="33" t="n">
        <v>24876114.22</v>
      </c>
      <c r="H13" s="33" t="n">
        <v>141</v>
      </c>
      <c r="I13" s="8" t="n">
        <v>0</v>
      </c>
      <c r="J13" s="8" t="n">
        <v>0</v>
      </c>
    </row>
    <row r="14">
      <c r="A14" s="35" t="inlineStr">
        <is>
          <t>GBL_MX_PAYMENTS</t>
        </is>
      </c>
      <c r="B14" s="35" t="inlineStr">
        <is>
          <t>LATAM</t>
        </is>
      </c>
      <c r="C14" s="35" t="n">
        <v>201243</v>
      </c>
      <c r="D14" s="35" t="n">
        <v>158918</v>
      </c>
      <c r="E14" s="35" t="n">
        <v>42325</v>
      </c>
      <c r="F14" s="35" t="n">
        <v>55</v>
      </c>
      <c r="G14" s="35" t="n">
        <v>9849658.83</v>
      </c>
      <c r="H14" s="35" t="n">
        <v>216</v>
      </c>
      <c r="I14" s="9" t="n">
        <v>0</v>
      </c>
      <c r="J14" s="9" t="n">
        <v>0</v>
      </c>
    </row>
    <row r="15">
      <c r="A15" s="33" t="inlineStr">
        <is>
          <t>sample_bank_feed_b8c7d6d7_bcb4_4edb_ba86_56c26f563555</t>
        </is>
      </c>
      <c r="B15" s="33" t="n">
        <v>2</v>
      </c>
      <c r="C15" s="33" t="n">
        <v>0</v>
      </c>
      <c r="D15" s="33" t="n">
        <v>0</v>
      </c>
      <c r="E15" s="33" t="n">
        <v>2</v>
      </c>
      <c r="F15" s="33" t="n">
        <v>0</v>
      </c>
      <c r="G15" s="33" t="n">
        <v>100</v>
      </c>
      <c r="H15" s="33" t="n">
        <v>2</v>
      </c>
      <c r="I15" s="8" t="n">
        <v>0</v>
      </c>
      <c r="J15" s="8" t="n">
        <v>0</v>
      </c>
    </row>
    <row r="16">
      <c r="A16" s="35" t="inlineStr">
        <is>
          <t>sample_bank_feed_b8c7d6d7_bcb4_4edb_ba86_56c26f563555</t>
        </is>
      </c>
      <c r="B16" s="35" t="n">
        <v>2</v>
      </c>
      <c r="C16" s="35" t="n">
        <v>0</v>
      </c>
      <c r="D16" s="35" t="n">
        <v>0</v>
      </c>
      <c r="E16" s="35" t="n">
        <v>2</v>
      </c>
      <c r="F16" s="35" t="n">
        <v>0</v>
      </c>
      <c r="G16" s="35" t="n">
        <v>100</v>
      </c>
      <c r="H16" s="35" t="n">
        <v>2</v>
      </c>
      <c r="I16" s="9" t="n">
        <v>0</v>
      </c>
      <c r="J16" s="9" t="n">
        <v>0</v>
      </c>
    </row>
    <row r="17">
      <c r="A17" s="33" t="inlineStr">
        <is>
          <t>enterprise_banking_messy_dataset_15324f25_f3c6_4628_9bab_575f59a2eafa</t>
        </is>
      </c>
      <c r="B17" s="33" t="n">
        <v>51003</v>
      </c>
      <c r="C17" s="33" t="n">
        <v>0</v>
      </c>
      <c r="D17" s="33" t="n">
        <v>15641</v>
      </c>
      <c r="E17" s="33" t="n">
        <v>35362</v>
      </c>
      <c r="F17" s="33" t="n">
        <v>0</v>
      </c>
      <c r="G17" s="33" t="n">
        <v>69.33</v>
      </c>
      <c r="H17" s="33" t="n">
        <v>35362</v>
      </c>
      <c r="I17" s="8" t="n">
        <v>15641</v>
      </c>
      <c r="J17" s="8" t="n">
        <v>698</v>
      </c>
    </row>
    <row r="18">
      <c r="A18" s="35" t="inlineStr">
        <is>
          <t>enterprise_banking_messy_dataset_15324f25_f3c6_4628_9bab_575f59a2eafa</t>
        </is>
      </c>
      <c r="B18" s="35" t="n">
        <v>51003</v>
      </c>
      <c r="C18" s="35" t="n">
        <v>0</v>
      </c>
      <c r="D18" s="35" t="n">
        <v>15641</v>
      </c>
      <c r="E18" s="35" t="n">
        <v>35362</v>
      </c>
      <c r="F18" s="35" t="n">
        <v>0</v>
      </c>
      <c r="G18" s="35" t="n">
        <v>69.33</v>
      </c>
      <c r="H18" s="35" t="n">
        <v>35362</v>
      </c>
      <c r="I18" s="9" t="n">
        <v>15641</v>
      </c>
      <c r="J18" s="9" t="n">
        <v>698</v>
      </c>
    </row>
    <row r="19">
      <c r="A19" s="33" t="inlineStr">
        <is>
          <t>enterprise_banking_messy_dataset_15324f25_f3c6_4628_9bab_575f59a2eafa</t>
        </is>
      </c>
      <c r="B19" s="33" t="n">
        <v>51003</v>
      </c>
      <c r="C19" s="33" t="n">
        <v>0</v>
      </c>
      <c r="D19" s="33" t="n">
        <v>15641</v>
      </c>
      <c r="E19" s="33" t="n">
        <v>35362</v>
      </c>
      <c r="F19" s="33" t="n">
        <v>0</v>
      </c>
      <c r="G19" s="33" t="n">
        <v>69.33</v>
      </c>
      <c r="H19" s="33" t="n">
        <v>35362</v>
      </c>
      <c r="I19" s="8" t="n">
        <v>15641</v>
      </c>
      <c r="J19" s="8" t="n">
        <v>698</v>
      </c>
    </row>
    <row r="20">
      <c r="A20" s="35" t="inlineStr">
        <is>
          <t>enterprise_banking_messy_dataset_15324f25_f3c6_4628_9bab_575f59a2eafa</t>
        </is>
      </c>
      <c r="B20" s="35" t="n">
        <v>51003</v>
      </c>
      <c r="C20" s="35" t="n">
        <v>0</v>
      </c>
      <c r="D20" s="35" t="n">
        <v>15641</v>
      </c>
      <c r="E20" s="35" t="n">
        <v>35362</v>
      </c>
      <c r="F20" s="35" t="n">
        <v>0</v>
      </c>
      <c r="G20" s="35" t="n">
        <v>69.33</v>
      </c>
      <c r="H20" s="35" t="n">
        <v>35362</v>
      </c>
      <c r="I20" s="9" t="n">
        <v>15641</v>
      </c>
      <c r="J20" s="9" t="n">
        <v>698</v>
      </c>
    </row>
    <row r="21">
      <c r="A21" s="33" t="inlineStr">
        <is>
          <t>enterprise_banking_messy_dataset_15324f25_f3c6_4628_9bab_575f59a2eafa</t>
        </is>
      </c>
      <c r="B21" s="33" t="n">
        <v>51003</v>
      </c>
      <c r="C21" s="33" t="n">
        <v>0</v>
      </c>
      <c r="D21" s="33" t="n">
        <v>15641</v>
      </c>
      <c r="E21" s="33" t="n">
        <v>35362</v>
      </c>
      <c r="F21" s="33" t="n">
        <v>0</v>
      </c>
      <c r="G21" s="33" t="n">
        <v>69.33</v>
      </c>
      <c r="H21" s="33" t="n">
        <v>35362</v>
      </c>
      <c r="I21" s="8" t="n">
        <v>15641</v>
      </c>
      <c r="J21" s="8" t="n">
        <v>698</v>
      </c>
    </row>
    <row r="22">
      <c r="A22" s="35" t="inlineStr">
        <is>
          <t>enterprise_banking_messy_dataset_15324f25_f3c6_4628_9bab_575f59a2eafa</t>
        </is>
      </c>
      <c r="B22" s="35" t="n">
        <v>51003</v>
      </c>
      <c r="C22" s="35" t="n">
        <v>0</v>
      </c>
      <c r="D22" s="35" t="n">
        <v>15641</v>
      </c>
      <c r="E22" s="35" t="n">
        <v>35362</v>
      </c>
      <c r="F22" s="35" t="n">
        <v>0</v>
      </c>
      <c r="G22" s="35" t="n">
        <v>69.33</v>
      </c>
      <c r="H22" s="35" t="n">
        <v>35362</v>
      </c>
      <c r="I22" s="9" t="n">
        <v>15641</v>
      </c>
      <c r="J22" s="9" t="n">
        <v>698</v>
      </c>
    </row>
    <row r="23">
      <c r="A23" s="33" t="inlineStr">
        <is>
          <t>enterprise_banking_messy_dataset_15324f25_f3c6_4628_9bab_575f59a2eafa</t>
        </is>
      </c>
      <c r="B23" s="33" t="n">
        <v>51003</v>
      </c>
      <c r="C23" s="33" t="n">
        <v>0</v>
      </c>
      <c r="D23" s="33" t="n">
        <v>15641</v>
      </c>
      <c r="E23" s="33" t="n">
        <v>35362</v>
      </c>
      <c r="F23" s="33" t="n">
        <v>0</v>
      </c>
      <c r="G23" s="33" t="n">
        <v>69.33</v>
      </c>
      <c r="H23" s="33" t="n">
        <v>35362</v>
      </c>
      <c r="I23" s="8" t="n">
        <v>15641</v>
      </c>
      <c r="J23" s="8" t="n">
        <v>698</v>
      </c>
    </row>
    <row r="24">
      <c r="A24" s="35" t="inlineStr">
        <is>
          <t>enterprise_banking_messy_dataset_2c755ff7_4920_4873_b0e4_cc72fd44cdb2</t>
        </is>
      </c>
      <c r="B24" s="35" t="n">
        <v>51003</v>
      </c>
      <c r="C24" s="35" t="n">
        <v>0</v>
      </c>
      <c r="D24" s="35" t="n">
        <v>15641</v>
      </c>
      <c r="E24" s="35" t="n">
        <v>35362</v>
      </c>
      <c r="F24" s="35" t="n">
        <v>0</v>
      </c>
      <c r="G24" s="35" t="n">
        <v>69.33</v>
      </c>
      <c r="H24" s="35" t="n">
        <v>35362</v>
      </c>
      <c r="I24" s="9" t="n">
        <v>15641</v>
      </c>
      <c r="J24" s="9" t="n">
        <v>698</v>
      </c>
    </row>
    <row r="25">
      <c r="A25" s="33" t="inlineStr">
        <is>
          <t>enterprise_banking_messy_dataset_2c755ff7_4920_4873_b0e4_cc72fd44cdb2</t>
        </is>
      </c>
      <c r="B25" s="33" t="n">
        <v>51003</v>
      </c>
      <c r="C25" s="33" t="n">
        <v>0</v>
      </c>
      <c r="D25" s="33" t="n">
        <v>15641</v>
      </c>
      <c r="E25" s="33" t="n">
        <v>35362</v>
      </c>
      <c r="F25" s="33" t="n">
        <v>0</v>
      </c>
      <c r="G25" s="33" t="n">
        <v>69.33</v>
      </c>
      <c r="H25" s="33" t="n">
        <v>35362</v>
      </c>
      <c r="I25" s="8" t="n">
        <v>15641</v>
      </c>
      <c r="J25" s="8" t="n">
        <v>698</v>
      </c>
    </row>
    <row r="26">
      <c r="A26" s="35" t="inlineStr">
        <is>
          <t>enterprise_banking_messy_dataset_2c755ff7_4920_4873_b0e4_cc72fd44cdb2</t>
        </is>
      </c>
      <c r="B26" s="35" t="n">
        <v>51003</v>
      </c>
      <c r="C26" s="35" t="n">
        <v>0</v>
      </c>
      <c r="D26" s="35" t="n">
        <v>15641</v>
      </c>
      <c r="E26" s="35" t="n">
        <v>35362</v>
      </c>
      <c r="F26" s="35" t="n">
        <v>0</v>
      </c>
      <c r="G26" s="35" t="n">
        <v>69.33</v>
      </c>
      <c r="H26" s="35" t="n">
        <v>35362</v>
      </c>
      <c r="I26" s="9" t="n">
        <v>15641</v>
      </c>
      <c r="J26" s="9" t="n">
        <v>698</v>
      </c>
    </row>
    <row r="27">
      <c r="A27" s="33" t="inlineStr">
        <is>
          <t>enterprise_banking_messy_dataset_2c755ff7_4920_4873_b0e4_cc72fd44cdb2</t>
        </is>
      </c>
      <c r="B27" s="33" t="n">
        <v>51003</v>
      </c>
      <c r="C27" s="33" t="n">
        <v>0</v>
      </c>
      <c r="D27" s="33" t="n">
        <v>15641</v>
      </c>
      <c r="E27" s="33" t="n">
        <v>35362</v>
      </c>
      <c r="F27" s="33" t="n">
        <v>0</v>
      </c>
      <c r="G27" s="33" t="n">
        <v>69.33</v>
      </c>
      <c r="H27" s="33" t="n">
        <v>35362</v>
      </c>
      <c r="I27" s="8" t="n">
        <v>15641</v>
      </c>
      <c r="J27" s="8" t="n">
        <v>698</v>
      </c>
    </row>
    <row r="28">
      <c r="A28" s="35" t="inlineStr">
        <is>
          <t>enterprise_banking_messy_dataset_2c755ff7_4920_4873_b0e4_cc72fd44cdb2</t>
        </is>
      </c>
      <c r="B28" s="35" t="n">
        <v>51003</v>
      </c>
      <c r="C28" s="35" t="n">
        <v>0</v>
      </c>
      <c r="D28" s="35" t="n">
        <v>15641</v>
      </c>
      <c r="E28" s="35" t="n">
        <v>35362</v>
      </c>
      <c r="F28" s="35" t="n">
        <v>0</v>
      </c>
      <c r="G28" s="35" t="n">
        <v>69.33</v>
      </c>
      <c r="H28" s="35" t="n">
        <v>35362</v>
      </c>
      <c r="I28" s="9" t="n">
        <v>15641</v>
      </c>
      <c r="J28" s="9" t="n">
        <v>698</v>
      </c>
    </row>
    <row r="29">
      <c r="A29" s="33" t="inlineStr">
        <is>
          <t>enterprise_banking_messy_dataset_35ec86ff_784b_433f_b373_1348cbba06b9</t>
        </is>
      </c>
      <c r="B29" s="33" t="n">
        <v>51003</v>
      </c>
      <c r="C29" s="33" t="n">
        <v>0</v>
      </c>
      <c r="D29" s="33" t="n">
        <v>15641</v>
      </c>
      <c r="E29" s="33" t="n">
        <v>35362</v>
      </c>
      <c r="F29" s="33" t="n">
        <v>0</v>
      </c>
      <c r="G29" s="33" t="n">
        <v>69.33</v>
      </c>
      <c r="H29" s="33" t="n">
        <v>35362</v>
      </c>
      <c r="I29" s="8" t="n">
        <v>15641</v>
      </c>
      <c r="J29" s="8" t="n">
        <v>698</v>
      </c>
    </row>
    <row r="30">
      <c r="A30" s="35" t="inlineStr">
        <is>
          <t>enterprise_banking_messy_dataset_35ec86ff_784b_433f_b373_1348cbba06b9</t>
        </is>
      </c>
      <c r="B30" s="35" t="n">
        <v>51003</v>
      </c>
      <c r="C30" s="35" t="n">
        <v>0</v>
      </c>
      <c r="D30" s="35" t="n">
        <v>15641</v>
      </c>
      <c r="E30" s="35" t="n">
        <v>35362</v>
      </c>
      <c r="F30" s="35" t="n">
        <v>0</v>
      </c>
      <c r="G30" s="35" t="n">
        <v>69.33</v>
      </c>
      <c r="H30" s="35" t="n">
        <v>35362</v>
      </c>
      <c r="I30" s="9" t="n">
        <v>15641</v>
      </c>
      <c r="J30" s="9" t="n">
        <v>698</v>
      </c>
    </row>
    <row r="31">
      <c r="A31" s="33" t="inlineStr">
        <is>
          <t>enterprise_banking_messy_dataset_35ec86ff_784b_433f_b373_1348cbba06b9</t>
        </is>
      </c>
      <c r="B31" s="33" t="n">
        <v>51003</v>
      </c>
      <c r="C31" s="33" t="n">
        <v>0</v>
      </c>
      <c r="D31" s="33" t="n">
        <v>15641</v>
      </c>
      <c r="E31" s="33" t="n">
        <v>35362</v>
      </c>
      <c r="F31" s="33" t="n">
        <v>0</v>
      </c>
      <c r="G31" s="33" t="n">
        <v>69.33</v>
      </c>
      <c r="H31" s="33" t="n">
        <v>35362</v>
      </c>
      <c r="I31" s="8" t="n">
        <v>15641</v>
      </c>
      <c r="J31" s="8" t="n">
        <v>698</v>
      </c>
    </row>
    <row r="32">
      <c r="A32" s="35" t="inlineStr">
        <is>
          <t>enterprise_banking_messy_dataset_35ec86ff_784b_433f_b373_1348cbba06b9</t>
        </is>
      </c>
      <c r="B32" s="35" t="n">
        <v>51003</v>
      </c>
      <c r="C32" s="35" t="n">
        <v>0</v>
      </c>
      <c r="D32" s="35" t="n">
        <v>15641</v>
      </c>
      <c r="E32" s="35" t="n">
        <v>35362</v>
      </c>
      <c r="F32" s="35" t="n">
        <v>0</v>
      </c>
      <c r="G32" s="35" t="n">
        <v>69.33</v>
      </c>
      <c r="H32" s="35" t="n">
        <v>35362</v>
      </c>
      <c r="I32" s="9" t="n">
        <v>15641</v>
      </c>
      <c r="J32" s="9" t="n">
        <v>698</v>
      </c>
    </row>
    <row r="33">
      <c r="A33" s="33" t="inlineStr">
        <is>
          <t>enterprise_banking_messy_dataset_35ec86ff_784b_433f_b373_1348cbba06b9</t>
        </is>
      </c>
      <c r="B33" s="33" t="n">
        <v>51003</v>
      </c>
      <c r="C33" s="33" t="n">
        <v>0</v>
      </c>
      <c r="D33" s="33" t="n">
        <v>15641</v>
      </c>
      <c r="E33" s="33" t="n">
        <v>35362</v>
      </c>
      <c r="F33" s="33" t="n">
        <v>0</v>
      </c>
      <c r="G33" s="33" t="n">
        <v>69.33</v>
      </c>
      <c r="H33" s="33" t="n">
        <v>35362</v>
      </c>
      <c r="I33" s="8" t="n">
        <v>15641</v>
      </c>
      <c r="J33" s="8" t="n">
        <v>698</v>
      </c>
    </row>
    <row r="34">
      <c r="A34" s="35" t="inlineStr">
        <is>
          <t>enterprise_banking_messy_dataset_35ec86ff_784b_433f_b373_1348cbba06b9</t>
        </is>
      </c>
      <c r="B34" s="35" t="n">
        <v>51003</v>
      </c>
      <c r="C34" s="35" t="n">
        <v>0</v>
      </c>
      <c r="D34" s="35" t="n">
        <v>15641</v>
      </c>
      <c r="E34" s="35" t="n">
        <v>35362</v>
      </c>
      <c r="F34" s="35" t="n">
        <v>0</v>
      </c>
      <c r="G34" s="35" t="n">
        <v>69.33</v>
      </c>
      <c r="H34" s="35" t="n">
        <v>35362</v>
      </c>
      <c r="I34" s="9" t="n">
        <v>15641</v>
      </c>
      <c r="J34" s="9" t="n">
        <v>698</v>
      </c>
    </row>
    <row r="35">
      <c r="A35" s="33" t="inlineStr">
        <is>
          <t>enterprise_banking_messy_dataset_52db4197_36a2_4dea_8759_b749db6c8c9f</t>
        </is>
      </c>
      <c r="B35" s="33" t="n">
        <v>51003</v>
      </c>
      <c r="C35" s="33" t="n">
        <v>0</v>
      </c>
      <c r="D35" s="33" t="n">
        <v>15641</v>
      </c>
      <c r="E35" s="33" t="n">
        <v>35362</v>
      </c>
      <c r="F35" s="33" t="n">
        <v>0</v>
      </c>
      <c r="G35" s="33" t="n">
        <v>69.33</v>
      </c>
      <c r="H35" s="33" t="n">
        <v>35362</v>
      </c>
      <c r="I35" s="8" t="n">
        <v>15641</v>
      </c>
      <c r="J35" s="8" t="n">
        <v>698</v>
      </c>
    </row>
    <row r="36">
      <c r="A36" s="35" t="inlineStr">
        <is>
          <t>enterprise_banking_messy_dataset_6a3b91ac_8fde_4f53_ad5a_e3b8e2a99b2c</t>
        </is>
      </c>
      <c r="B36" s="35" t="n">
        <v>51003</v>
      </c>
      <c r="C36" s="35" t="n">
        <v>0</v>
      </c>
      <c r="D36" s="35" t="n">
        <v>15641</v>
      </c>
      <c r="E36" s="35" t="n">
        <v>35362</v>
      </c>
      <c r="F36" s="35" t="n">
        <v>0</v>
      </c>
      <c r="G36" s="35" t="n">
        <v>69.33</v>
      </c>
      <c r="H36" s="35" t="n">
        <v>35362</v>
      </c>
      <c r="I36" s="9" t="n">
        <v>15641</v>
      </c>
      <c r="J36" s="9" t="n">
        <v>698</v>
      </c>
    </row>
    <row r="37">
      <c r="A37" s="33" t="inlineStr">
        <is>
          <t>enterprise_banking_messy_dataset_6a3b91ac_8fde_4f53_ad5a_e3b8e2a99b2c</t>
        </is>
      </c>
      <c r="B37" s="33" t="n">
        <v>51003</v>
      </c>
      <c r="C37" s="33" t="n">
        <v>0</v>
      </c>
      <c r="D37" s="33" t="n">
        <v>15641</v>
      </c>
      <c r="E37" s="33" t="n">
        <v>35362</v>
      </c>
      <c r="F37" s="33" t="n">
        <v>0</v>
      </c>
      <c r="G37" s="33" t="n">
        <v>69.33</v>
      </c>
      <c r="H37" s="33" t="n">
        <v>35362</v>
      </c>
      <c r="I37" s="8" t="n">
        <v>15641</v>
      </c>
      <c r="J37" s="8" t="n">
        <v>698</v>
      </c>
    </row>
    <row r="38">
      <c r="A38" s="35" t="inlineStr">
        <is>
          <t>enterprise_banking_messy_dataset_6a3b91ac_8fde_4f53_ad5a_e3b8e2a99b2c</t>
        </is>
      </c>
      <c r="B38" s="35" t="n">
        <v>51003</v>
      </c>
      <c r="C38" s="35" t="n">
        <v>0</v>
      </c>
      <c r="D38" s="35" t="n">
        <v>15641</v>
      </c>
      <c r="E38" s="35" t="n">
        <v>35362</v>
      </c>
      <c r="F38" s="35" t="n">
        <v>0</v>
      </c>
      <c r="G38" s="35" t="n">
        <v>69.33</v>
      </c>
      <c r="H38" s="35" t="n">
        <v>35362</v>
      </c>
      <c r="I38" s="9" t="n">
        <v>15641</v>
      </c>
      <c r="J38" s="9" t="n">
        <v>698</v>
      </c>
    </row>
    <row r="39">
      <c r="A39" s="33" t="inlineStr">
        <is>
          <t>enterprise_banking_messy_dataset_6a3b91ac_8fde_4f53_ad5a_e3b8e2a99b2c</t>
        </is>
      </c>
      <c r="B39" s="33" t="n">
        <v>51003</v>
      </c>
      <c r="C39" s="33" t="n">
        <v>0</v>
      </c>
      <c r="D39" s="33" t="n">
        <v>15641</v>
      </c>
      <c r="E39" s="33" t="n">
        <v>35362</v>
      </c>
      <c r="F39" s="33" t="n">
        <v>0</v>
      </c>
      <c r="G39" s="33" t="n">
        <v>69.33</v>
      </c>
      <c r="H39" s="33" t="n">
        <v>35362</v>
      </c>
      <c r="I39" s="8" t="n">
        <v>15641</v>
      </c>
      <c r="J39" s="8" t="n">
        <v>698</v>
      </c>
    </row>
    <row r="40">
      <c r="A40" s="35" t="inlineStr">
        <is>
          <t>enterprise_banking_messy_dataset_785cbd30_4db7_419d_92c6_2b2776257243</t>
        </is>
      </c>
      <c r="B40" s="35" t="n">
        <v>51003</v>
      </c>
      <c r="C40" s="35" t="n">
        <v>0</v>
      </c>
      <c r="D40" s="35" t="n">
        <v>15641</v>
      </c>
      <c r="E40" s="35" t="n">
        <v>35362</v>
      </c>
      <c r="F40" s="35" t="n">
        <v>0</v>
      </c>
      <c r="G40" s="35" t="n">
        <v>69.33</v>
      </c>
      <c r="H40" s="35" t="n">
        <v>35362</v>
      </c>
      <c r="I40" s="9" t="n">
        <v>15641</v>
      </c>
      <c r="J40" s="9" t="n">
        <v>698</v>
      </c>
    </row>
    <row r="41">
      <c r="A41" s="33" t="inlineStr">
        <is>
          <t>enterprise_banking_messy_dataset_785cbd30_4db7_419d_92c6_2b2776257243</t>
        </is>
      </c>
      <c r="B41" s="33" t="n">
        <v>51003</v>
      </c>
      <c r="C41" s="33" t="n">
        <v>0</v>
      </c>
      <c r="D41" s="33" t="n">
        <v>15641</v>
      </c>
      <c r="E41" s="33" t="n">
        <v>35362</v>
      </c>
      <c r="F41" s="33" t="n">
        <v>0</v>
      </c>
      <c r="G41" s="33" t="n">
        <v>69.33</v>
      </c>
      <c r="H41" s="33" t="n">
        <v>35362</v>
      </c>
      <c r="I41" s="8" t="n">
        <v>15641</v>
      </c>
      <c r="J41" s="8" t="n">
        <v>698</v>
      </c>
    </row>
    <row r="42">
      <c r="A42" s="35" t="inlineStr">
        <is>
          <t>enterprise_banking_messy_dataset_b8c7d6d7_bcb4_4edb_ba86_56c26f563555</t>
        </is>
      </c>
      <c r="B42" s="35" t="n">
        <v>51003</v>
      </c>
      <c r="C42" s="35" t="n">
        <v>0</v>
      </c>
      <c r="D42" s="35" t="n">
        <v>15641</v>
      </c>
      <c r="E42" s="35" t="n">
        <v>35362</v>
      </c>
      <c r="F42" s="35" t="n">
        <v>0</v>
      </c>
      <c r="G42" s="35" t="n">
        <v>69.33</v>
      </c>
      <c r="H42" s="35" t="n">
        <v>35362</v>
      </c>
      <c r="I42" s="9" t="n">
        <v>15641</v>
      </c>
      <c r="J42" s="9" t="n">
        <v>698</v>
      </c>
    </row>
    <row r="43">
      <c r="A43" s="33" t="inlineStr">
        <is>
          <t>enterprise_banking_messy_dataset_b8c7d6d7_bcb4_4edb_ba86_56c26f563555</t>
        </is>
      </c>
      <c r="B43" s="33" t="n">
        <v>51003</v>
      </c>
      <c r="C43" s="33" t="n">
        <v>0</v>
      </c>
      <c r="D43" s="33" t="n">
        <v>15641</v>
      </c>
      <c r="E43" s="33" t="n">
        <v>35362</v>
      </c>
      <c r="F43" s="33" t="n">
        <v>0</v>
      </c>
      <c r="G43" s="33" t="n">
        <v>69.33</v>
      </c>
      <c r="H43" s="33" t="n">
        <v>35362</v>
      </c>
      <c r="I43" s="8" t="n">
        <v>15641</v>
      </c>
      <c r="J43" s="8" t="n">
        <v>698</v>
      </c>
    </row>
    <row r="44">
      <c r="A44" s="35" t="inlineStr">
        <is>
          <t>enterprise_banking_messy_dataset_b8c7d6d7_bcb4_4edb_ba86_56c26f563555</t>
        </is>
      </c>
      <c r="B44" s="35" t="n">
        <v>51003</v>
      </c>
      <c r="C44" s="35" t="n">
        <v>0</v>
      </c>
      <c r="D44" s="35" t="n">
        <v>15641</v>
      </c>
      <c r="E44" s="35" t="n">
        <v>35362</v>
      </c>
      <c r="F44" s="35" t="n">
        <v>0</v>
      </c>
      <c r="G44" s="35" t="n">
        <v>69.33</v>
      </c>
      <c r="H44" s="35" t="n">
        <v>35362</v>
      </c>
      <c r="I44" s="9" t="n">
        <v>15641</v>
      </c>
      <c r="J44" s="9" t="n">
        <v>698</v>
      </c>
    </row>
    <row r="45">
      <c r="A45" s="33" t="inlineStr">
        <is>
          <t>enterprise_banking_messy_dataset_b8c7d6d7_bcb4_4edb_ba86_56c26f563555</t>
        </is>
      </c>
      <c r="B45" s="33" t="n">
        <v>51003</v>
      </c>
      <c r="C45" s="33" t="n">
        <v>0</v>
      </c>
      <c r="D45" s="33" t="n">
        <v>15641</v>
      </c>
      <c r="E45" s="33" t="n">
        <v>35362</v>
      </c>
      <c r="F45" s="33" t="n">
        <v>0</v>
      </c>
      <c r="G45" s="33" t="n">
        <v>69.33</v>
      </c>
      <c r="H45" s="33" t="n">
        <v>35362</v>
      </c>
      <c r="I45" s="8" t="n">
        <v>15641</v>
      </c>
      <c r="J45" s="8" t="n">
        <v>698</v>
      </c>
    </row>
    <row r="46">
      <c r="A46" s="35" t="inlineStr">
        <is>
          <t>enterprise_banking_messy_dataset_b8c7d6d7_bcb4_4edb_ba86_56c26f563555</t>
        </is>
      </c>
      <c r="B46" s="35" t="n">
        <v>51003</v>
      </c>
      <c r="C46" s="35" t="n">
        <v>0</v>
      </c>
      <c r="D46" s="35" t="n">
        <v>15641</v>
      </c>
      <c r="E46" s="35" t="n">
        <v>35362</v>
      </c>
      <c r="F46" s="35" t="n">
        <v>0</v>
      </c>
      <c r="G46" s="35" t="n">
        <v>69.33</v>
      </c>
      <c r="H46" s="35" t="n">
        <v>35362</v>
      </c>
      <c r="I46" s="9" t="n">
        <v>15641</v>
      </c>
      <c r="J46" s="9" t="n">
        <v>698</v>
      </c>
    </row>
    <row r="47">
      <c r="A47" s="33" t="inlineStr">
        <is>
          <t>enterprise_banking_messy_dataset_b8c7d6d7_bcb4_4edb_ba86_56c26f563555</t>
        </is>
      </c>
      <c r="B47" s="33" t="n">
        <v>51003</v>
      </c>
      <c r="C47" s="33" t="n">
        <v>0</v>
      </c>
      <c r="D47" s="33" t="n">
        <v>15641</v>
      </c>
      <c r="E47" s="33" t="n">
        <v>35362</v>
      </c>
      <c r="F47" s="33" t="n">
        <v>0</v>
      </c>
      <c r="G47" s="33" t="n">
        <v>69.33</v>
      </c>
      <c r="H47" s="33" t="n">
        <v>35362</v>
      </c>
      <c r="I47" s="8" t="n">
        <v>15641</v>
      </c>
      <c r="J47" s="8" t="n">
        <v>698</v>
      </c>
    </row>
    <row r="48">
      <c r="A48" s="35" t="inlineStr">
        <is>
          <t>enterprise_banking_messy_dataset_b8c7d6d7_bcb4_4edb_ba86_56c26f563555</t>
        </is>
      </c>
      <c r="B48" s="35" t="n">
        <v>51003</v>
      </c>
      <c r="C48" s="35" t="n">
        <v>0</v>
      </c>
      <c r="D48" s="35" t="n">
        <v>15641</v>
      </c>
      <c r="E48" s="35" t="n">
        <v>35362</v>
      </c>
      <c r="F48" s="35" t="n">
        <v>0</v>
      </c>
      <c r="G48" s="35" t="n">
        <v>69.33</v>
      </c>
      <c r="H48" s="35" t="n">
        <v>35362</v>
      </c>
      <c r="I48" s="9" t="n">
        <v>15641</v>
      </c>
      <c r="J48" s="9" t="n">
        <v>698</v>
      </c>
    </row>
    <row r="49">
      <c r="A49" s="33" t="inlineStr">
        <is>
          <t>enterprise_banking_messy_dataset_bdf2cfe7_6266_4a16_9960_8a024acc66fa</t>
        </is>
      </c>
      <c r="B49" s="33" t="n">
        <v>51003</v>
      </c>
      <c r="C49" s="33" t="n">
        <v>0</v>
      </c>
      <c r="D49" s="33" t="n">
        <v>15641</v>
      </c>
      <c r="E49" s="33" t="n">
        <v>35362</v>
      </c>
      <c r="F49" s="33" t="n">
        <v>0</v>
      </c>
      <c r="G49" s="33" t="n">
        <v>69.33</v>
      </c>
      <c r="H49" s="33" t="n">
        <v>35362</v>
      </c>
      <c r="I49" s="8" t="n">
        <v>15641</v>
      </c>
      <c r="J49" s="8" t="n">
        <v>698</v>
      </c>
    </row>
    <row r="50">
      <c r="A50" s="35" t="inlineStr">
        <is>
          <t>enterprise_banking_messy_dataset_bdf2cfe7_6266_4a16_9960_8a024acc66fa</t>
        </is>
      </c>
      <c r="B50" s="35" t="n">
        <v>51003</v>
      </c>
      <c r="C50" s="35" t="n">
        <v>0</v>
      </c>
      <c r="D50" s="35" t="n">
        <v>15641</v>
      </c>
      <c r="E50" s="35" t="n">
        <v>35362</v>
      </c>
      <c r="F50" s="35" t="n">
        <v>0</v>
      </c>
      <c r="G50" s="35" t="n">
        <v>69.33</v>
      </c>
      <c r="H50" s="35" t="n">
        <v>35362</v>
      </c>
      <c r="I50" s="9" t="n">
        <v>15641</v>
      </c>
      <c r="J50" s="9" t="n">
        <v>698</v>
      </c>
    </row>
    <row r="51">
      <c r="A51" s="33" t="inlineStr">
        <is>
          <t>enterprise_banking_messy_dataset_bdf2cfe7_6266_4a16_9960_8a024acc66fa</t>
        </is>
      </c>
      <c r="B51" s="33" t="n">
        <v>51003</v>
      </c>
      <c r="C51" s="33" t="n">
        <v>0</v>
      </c>
      <c r="D51" s="33" t="n">
        <v>15641</v>
      </c>
      <c r="E51" s="33" t="n">
        <v>35362</v>
      </c>
      <c r="F51" s="33" t="n">
        <v>0</v>
      </c>
      <c r="G51" s="33" t="n">
        <v>69.33</v>
      </c>
      <c r="H51" s="33" t="n">
        <v>35362</v>
      </c>
      <c r="I51" s="8" t="n">
        <v>15641</v>
      </c>
      <c r="J51" s="8" t="n">
        <v>698</v>
      </c>
    </row>
    <row r="52">
      <c r="A52" s="35" t="inlineStr">
        <is>
          <t>enterprise_banking_messy_dataset_e66d5f86_902a_452c_a614_7fb07961fa32</t>
        </is>
      </c>
      <c r="B52" s="35" t="n">
        <v>51003</v>
      </c>
      <c r="C52" s="35" t="n">
        <v>0</v>
      </c>
      <c r="D52" s="35" t="n">
        <v>15641</v>
      </c>
      <c r="E52" s="35" t="n">
        <v>35362</v>
      </c>
      <c r="F52" s="35" t="n">
        <v>0</v>
      </c>
      <c r="G52" s="35" t="n">
        <v>69.33</v>
      </c>
      <c r="H52" s="35" t="n">
        <v>35362</v>
      </c>
      <c r="I52" s="9" t="n">
        <v>15641</v>
      </c>
      <c r="J52" s="9" t="n">
        <v>698</v>
      </c>
    </row>
    <row r="53">
      <c r="A53" s="33" t="inlineStr">
        <is>
          <t>enterprise_banking_messy_dataset_e66d5f86_902a_452c_a614_7fb07961fa32</t>
        </is>
      </c>
      <c r="B53" s="33" t="n">
        <v>51003</v>
      </c>
      <c r="C53" s="33" t="n">
        <v>0</v>
      </c>
      <c r="D53" s="33" t="n">
        <v>15641</v>
      </c>
      <c r="E53" s="33" t="n">
        <v>35362</v>
      </c>
      <c r="F53" s="33" t="n">
        <v>0</v>
      </c>
      <c r="G53" s="33" t="n">
        <v>69.33</v>
      </c>
      <c r="H53" s="33" t="n">
        <v>35362</v>
      </c>
      <c r="I53" s="8" t="n">
        <v>15641</v>
      </c>
      <c r="J53" s="8" t="n">
        <v>698</v>
      </c>
    </row>
    <row r="54">
      <c r="A54" s="35" t="inlineStr">
        <is>
          <t>enterprise_banking_messy_dataset_e66d5f86_902a_452c_a614_7fb07961fa32</t>
        </is>
      </c>
      <c r="B54" s="35" t="n">
        <v>51003</v>
      </c>
      <c r="C54" s="35" t="n">
        <v>0</v>
      </c>
      <c r="D54" s="35" t="n">
        <v>15641</v>
      </c>
      <c r="E54" s="35" t="n">
        <v>35362</v>
      </c>
      <c r="F54" s="35" t="n">
        <v>0</v>
      </c>
      <c r="G54" s="35" t="n">
        <v>69.33</v>
      </c>
      <c r="H54" s="35" t="n">
        <v>35362</v>
      </c>
      <c r="I54" s="9" t="n">
        <v>15641</v>
      </c>
      <c r="J54" s="9" t="n">
        <v>698</v>
      </c>
    </row>
    <row r="55">
      <c r="A55" s="33" t="inlineStr">
        <is>
          <t>enterprise_banking_messy_dataset_e66d5f86_902a_452c_a614_7fb07961fa32</t>
        </is>
      </c>
      <c r="B55" s="33" t="n">
        <v>51003</v>
      </c>
      <c r="C55" s="33" t="n">
        <v>0</v>
      </c>
      <c r="D55" s="33" t="n">
        <v>15641</v>
      </c>
      <c r="E55" s="33" t="n">
        <v>35362</v>
      </c>
      <c r="F55" s="33" t="n">
        <v>0</v>
      </c>
      <c r="G55" s="33" t="n">
        <v>69.33</v>
      </c>
      <c r="H55" s="33" t="n">
        <v>35362</v>
      </c>
      <c r="I55" s="8" t="n">
        <v>15641</v>
      </c>
      <c r="J55" s="8" t="n">
        <v>698</v>
      </c>
    </row>
    <row r="56">
      <c r="A56" s="35" t="inlineStr">
        <is>
          <t>enterprise_banking_messy_dataset_e66d5f86_902a_452c_a614_7fb07961fa32</t>
        </is>
      </c>
      <c r="B56" s="35" t="n">
        <v>51003</v>
      </c>
      <c r="C56" s="35" t="n">
        <v>0</v>
      </c>
      <c r="D56" s="35" t="n">
        <v>15641</v>
      </c>
      <c r="E56" s="35" t="n">
        <v>35362</v>
      </c>
      <c r="F56" s="35" t="n">
        <v>0</v>
      </c>
      <c r="G56" s="35" t="n">
        <v>69.33</v>
      </c>
      <c r="H56" s="35" t="n">
        <v>35362</v>
      </c>
      <c r="I56" s="9" t="n">
        <v>15641</v>
      </c>
      <c r="J56" s="9" t="n">
        <v>698</v>
      </c>
    </row>
    <row r="57">
      <c r="A57" s="33" t="inlineStr">
        <is>
          <t>enterprise_banking_messy_dataset_e66d5f86_902a_452c_a614_7fb07961fa32</t>
        </is>
      </c>
      <c r="B57" s="33" t="n">
        <v>51003</v>
      </c>
      <c r="C57" s="33" t="n">
        <v>0</v>
      </c>
      <c r="D57" s="33" t="n">
        <v>15641</v>
      </c>
      <c r="E57" s="33" t="n">
        <v>35362</v>
      </c>
      <c r="F57" s="33" t="n">
        <v>0</v>
      </c>
      <c r="G57" s="33" t="n">
        <v>69.33</v>
      </c>
      <c r="H57" s="33" t="n">
        <v>35362</v>
      </c>
      <c r="I57" s="8" t="n">
        <v>15641</v>
      </c>
      <c r="J57" s="8" t="n">
        <v>698</v>
      </c>
    </row>
    <row r="58">
      <c r="A58" s="35" t="inlineStr">
        <is>
          <t>enterprise_banking_messy_dataset_e66d5f86_902a_452c_a614_7fb07961fa32</t>
        </is>
      </c>
      <c r="B58" s="35" t="n">
        <v>51003</v>
      </c>
      <c r="C58" s="35" t="n">
        <v>0</v>
      </c>
      <c r="D58" s="35" t="n">
        <v>15641</v>
      </c>
      <c r="E58" s="35" t="n">
        <v>35362</v>
      </c>
      <c r="F58" s="35" t="n">
        <v>0</v>
      </c>
      <c r="G58" s="35" t="n">
        <v>69.33</v>
      </c>
      <c r="H58" s="35" t="n">
        <v>35362</v>
      </c>
      <c r="I58" s="9" t="n">
        <v>15641</v>
      </c>
      <c r="J58" s="9" t="n">
        <v>698</v>
      </c>
    </row>
    <row r="59">
      <c r="A59" s="33" t="inlineStr">
        <is>
          <t>enterprise_banking_messy_dataset_ff3d5df3_bd46_4025_830a_6baecc5c690f</t>
        </is>
      </c>
      <c r="B59" s="33" t="n">
        <v>51003</v>
      </c>
      <c r="C59" s="33" t="n">
        <v>0</v>
      </c>
      <c r="D59" s="33" t="n">
        <v>15641</v>
      </c>
      <c r="E59" s="33" t="n">
        <v>35362</v>
      </c>
      <c r="F59" s="33" t="n">
        <v>0</v>
      </c>
      <c r="G59" s="33" t="n">
        <v>69.33</v>
      </c>
      <c r="H59" s="33" t="n">
        <v>35362</v>
      </c>
      <c r="I59" s="8" t="n">
        <v>15641</v>
      </c>
      <c r="J59" s="8" t="n">
        <v>698</v>
      </c>
    </row>
    <row r="60">
      <c r="A60" s="35" t="inlineStr">
        <is>
          <t>enterprise_banking_messy_dataset_ff3d5df3_bd46_4025_830a_6baecc5c690f</t>
        </is>
      </c>
      <c r="B60" s="35" t="n">
        <v>51003</v>
      </c>
      <c r="C60" s="35" t="n">
        <v>0</v>
      </c>
      <c r="D60" s="35" t="n">
        <v>15641</v>
      </c>
      <c r="E60" s="35" t="n">
        <v>35362</v>
      </c>
      <c r="F60" s="35" t="n">
        <v>0</v>
      </c>
      <c r="G60" s="35" t="n">
        <v>69.33</v>
      </c>
      <c r="H60" s="35" t="n">
        <v>35362</v>
      </c>
      <c r="I60" s="9" t="n">
        <v>15641</v>
      </c>
      <c r="J60" s="9" t="n">
        <v>698</v>
      </c>
    </row>
    <row r="61">
      <c r="A61" s="8" t="inlineStr">
        <is>
          <t>enterprise_banking_messy_dataset_ff3d5df3_bd46_4025_830a_6baecc5c690f</t>
        </is>
      </c>
      <c r="B61" s="8" t="n">
        <v>51003</v>
      </c>
      <c r="C61" s="8" t="n">
        <v>0</v>
      </c>
      <c r="D61" s="8" t="n">
        <v>15641</v>
      </c>
      <c r="E61" s="8" t="n">
        <v>35362</v>
      </c>
      <c r="F61" s="8" t="n">
        <v>0</v>
      </c>
      <c r="G61" s="8" t="n">
        <v>69.33</v>
      </c>
      <c r="H61" s="8" t="n">
        <v>35362</v>
      </c>
      <c r="I61" s="8" t="n">
        <v>15641</v>
      </c>
      <c r="J61" s="8" t="n">
        <v>698</v>
      </c>
    </row>
    <row r="62">
      <c r="A62" s="9" t="inlineStr">
        <is>
          <t>enterprise_banking_messy_dataset_ff3d5df3_bd46_4025_830a_6baecc5c690f</t>
        </is>
      </c>
      <c r="B62" s="9" t="n">
        <v>51003</v>
      </c>
      <c r="C62" s="9" t="n">
        <v>0</v>
      </c>
      <c r="D62" s="9" t="n">
        <v>15641</v>
      </c>
      <c r="E62" s="9" t="n">
        <v>35362</v>
      </c>
      <c r="F62" s="9" t="n">
        <v>0</v>
      </c>
      <c r="G62" s="9" t="n">
        <v>69.33</v>
      </c>
      <c r="H62" s="9" t="n">
        <v>35362</v>
      </c>
      <c r="I62" s="9" t="n">
        <v>15641</v>
      </c>
      <c r="J62" s="9" t="n">
        <v>698</v>
      </c>
    </row>
    <row r="63">
      <c r="A63" s="8" t="inlineStr">
        <is>
          <t>enterprise_banking_messy_dataset_ff3d5df3_bd46_4025_830a_6baecc5c690f</t>
        </is>
      </c>
      <c r="B63" s="8" t="n">
        <v>51003</v>
      </c>
      <c r="C63" s="8" t="n">
        <v>0</v>
      </c>
      <c r="D63" s="8" t="n">
        <v>15641</v>
      </c>
      <c r="E63" s="8" t="n">
        <v>35362</v>
      </c>
      <c r="F63" s="8" t="n">
        <v>0</v>
      </c>
      <c r="G63" s="8" t="n">
        <v>69.33</v>
      </c>
      <c r="H63" s="8" t="n">
        <v>35362</v>
      </c>
      <c r="I63" s="8" t="n">
        <v>15641</v>
      </c>
      <c r="J63" s="8" t="n">
        <v>698</v>
      </c>
    </row>
    <row r="64">
      <c r="A64" s="9" t="inlineStr">
        <is>
          <t>enterprise_banking_messy_dataset_ff3d5df3_bd46_4025_830a_6baecc5c690f</t>
        </is>
      </c>
      <c r="B64" s="9" t="n">
        <v>51003</v>
      </c>
      <c r="C64" s="9" t="n">
        <v>0</v>
      </c>
      <c r="D64" s="9" t="n">
        <v>15641</v>
      </c>
      <c r="E64" s="9" t="n">
        <v>35362</v>
      </c>
      <c r="F64" s="9" t="n">
        <v>0</v>
      </c>
      <c r="G64" s="9" t="n">
        <v>69.33</v>
      </c>
      <c r="H64" s="9" t="n">
        <v>35362</v>
      </c>
      <c r="I64" s="9" t="n">
        <v>15641</v>
      </c>
      <c r="J64" s="9" t="n">
        <v>698</v>
      </c>
    </row>
    <row r="65">
      <c r="A65" s="8" t="inlineStr">
        <is>
          <t>enterprise_banking_messy_dataset_ff3d5df3_bd46_4025_830a_6baecc5c690f</t>
        </is>
      </c>
      <c r="B65" s="8" t="n">
        <v>51003</v>
      </c>
      <c r="C65" s="8" t="n">
        <v>0</v>
      </c>
      <c r="D65" s="8" t="n">
        <v>15641</v>
      </c>
      <c r="E65" s="8" t="n">
        <v>35362</v>
      </c>
      <c r="F65" s="8" t="n">
        <v>0</v>
      </c>
      <c r="G65" s="8" t="n">
        <v>69.33</v>
      </c>
      <c r="H65" s="8" t="n">
        <v>35362</v>
      </c>
      <c r="I65" s="8" t="n">
        <v>15641</v>
      </c>
      <c r="J65" s="8" t="n">
        <v>698</v>
      </c>
    </row>
    <row r="66">
      <c r="A66" s="9" t="inlineStr">
        <is>
          <t>enterprise_banking_messy_dataset_b8c7d6d7_bcb4_4edb_ba86_56c26f563555</t>
        </is>
      </c>
      <c r="B66" s="9" t="n">
        <v>51003</v>
      </c>
      <c r="C66" s="9" t="n">
        <v>0</v>
      </c>
      <c r="D66" s="9" t="n">
        <v>15641</v>
      </c>
      <c r="E66" s="9" t="n">
        <v>35362</v>
      </c>
      <c r="F66" s="9" t="n">
        <v>0</v>
      </c>
      <c r="G66" s="9" t="n">
        <v>69.33</v>
      </c>
      <c r="H66" s="9" t="n">
        <v>35353</v>
      </c>
      <c r="I66" s="9" t="n">
        <v>15641</v>
      </c>
      <c r="J66" s="9" t="n">
        <v>698</v>
      </c>
    </row>
    <row r="67">
      <c r="A67" s="8" t="inlineStr">
        <is>
          <t>enterprise_banking_messy_dataset_e66d5f86_902a_452c_a614_7fb07961fa32</t>
        </is>
      </c>
      <c r="B67" s="8" t="n">
        <v>51003</v>
      </c>
      <c r="C67" s="8" t="n">
        <v>0</v>
      </c>
      <c r="D67" s="8" t="n">
        <v>15641</v>
      </c>
      <c r="E67" s="8" t="n">
        <v>35362</v>
      </c>
      <c r="F67" s="8" t="n">
        <v>0</v>
      </c>
      <c r="G67" s="8" t="n">
        <v>69.33</v>
      </c>
      <c r="H67" s="8" t="n">
        <v>35353</v>
      </c>
      <c r="I67" s="8" t="n">
        <v>15641</v>
      </c>
      <c r="J67" s="8" t="n">
        <v>698</v>
      </c>
    </row>
    <row r="68">
      <c r="A68" s="9" t="inlineStr">
        <is>
          <t>enterprise_banking_messy_dataset_ff3d5df3_bd46_4025_830a_6baecc5c690f</t>
        </is>
      </c>
      <c r="B68" s="9" t="n">
        <v>51003</v>
      </c>
      <c r="C68" s="9" t="n">
        <v>0</v>
      </c>
      <c r="D68" s="9" t="n">
        <v>15641</v>
      </c>
      <c r="E68" s="9" t="n">
        <v>35362</v>
      </c>
      <c r="F68" s="9" t="n">
        <v>0</v>
      </c>
      <c r="G68" s="9" t="n">
        <v>69.33</v>
      </c>
      <c r="H68" s="9" t="n">
        <v>35353</v>
      </c>
      <c r="I68" s="9" t="n">
        <v>15641</v>
      </c>
      <c r="J68" s="9" t="n">
        <v>698</v>
      </c>
    </row>
  </sheetData>
  <autoFilter ref="A4:J68"/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3" sqref="A1:O1048576"/>
    </sheetView>
  </sheetViews>
  <sheetFormatPr baseColWidth="8" defaultRowHeight="15"/>
  <cols>
    <col width="22" bestFit="1" customWidth="1" min="1" max="1"/>
    <col width="22" bestFit="1" customWidth="1" min="2" max="2"/>
    <col width="22" bestFit="1" customWidth="1" min="3" max="3"/>
    <col width="22" bestFit="1" customWidth="1" min="4" max="4"/>
    <col width="22" bestFit="1" customWidth="1" min="5" max="5"/>
    <col width="22" customWidth="1" min="6" max="6"/>
    <col width="22" customWidth="1" min="7" max="7"/>
    <col width="22" customWidth="1" min="8" max="8"/>
  </cols>
  <sheetData>
    <row r="1" ht="21" customHeight="1">
      <c r="A1" s="11" t="inlineStr">
        <is>
          <t>Trend and Volume Analytics</t>
        </is>
      </c>
    </row>
    <row r="2">
      <c r="A2" s="12" t="inlineStr">
        <is>
          <t>Throughput and validation volume</t>
        </is>
      </c>
    </row>
    <row r="4">
      <c r="A4" s="40" t="inlineStr">
        <is>
          <t>Business Date</t>
        </is>
      </c>
      <c r="B4" s="40" t="inlineStr">
        <is>
          <t>Source stream</t>
        </is>
      </c>
      <c r="C4" s="40" t="inlineStr">
        <is>
          <t>Processed</t>
        </is>
      </c>
      <c r="D4" s="40" t="inlineStr">
        <is>
          <t>Valid</t>
        </is>
      </c>
      <c r="E4" s="40" t="inlineStr">
        <is>
          <t>Rejected</t>
        </is>
      </c>
      <c r="F4" s="26" t="inlineStr">
        <is>
          <t>Duplicate pairs</t>
        </is>
      </c>
      <c r="G4" s="26" t="inlineStr">
        <is>
          <t>Open exceptions</t>
        </is>
      </c>
      <c r="H4" s="26" t="inlineStr">
        <is>
          <t>FX breaches</t>
        </is>
      </c>
    </row>
    <row r="5">
      <c r="A5" s="33" t="inlineStr">
        <is>
          <t>2026-05-06</t>
        </is>
      </c>
      <c r="B5" s="33" t="inlineStr">
        <is>
          <t>Payments_Core</t>
        </is>
      </c>
      <c r="C5" s="33" t="n">
        <v>331240</v>
      </c>
      <c r="D5" s="33" t="n">
        <v>314418</v>
      </c>
      <c r="E5" s="33" t="n">
        <v>16822</v>
      </c>
      <c r="F5" s="27" t="n">
        <v>81</v>
      </c>
      <c r="G5" s="27" t="n">
        <v>412</v>
      </c>
      <c r="H5" s="27" t="n">
        <v>590</v>
      </c>
    </row>
    <row r="6">
      <c r="A6" s="35" t="inlineStr">
        <is>
          <t>2026-05-07</t>
        </is>
      </c>
      <c r="B6" s="35" t="inlineStr">
        <is>
          <t>Payments_Core</t>
        </is>
      </c>
      <c r="C6" s="35" t="n">
        <v>338902</v>
      </c>
      <c r="D6" s="35" t="n">
        <v>318611</v>
      </c>
      <c r="E6" s="35" t="n">
        <v>20291</v>
      </c>
      <c r="F6" s="27" t="n">
        <v>73</v>
      </c>
      <c r="G6" s="27" t="n">
        <v>438</v>
      </c>
      <c r="H6" s="27" t="n">
        <v>611</v>
      </c>
    </row>
    <row r="7">
      <c r="A7" s="33" t="inlineStr">
        <is>
          <t>2026-05-08</t>
        </is>
      </c>
      <c r="B7" s="33" t="inlineStr">
        <is>
          <t>Payments_Core</t>
        </is>
      </c>
      <c r="C7" s="33" t="n">
        <v>342550</v>
      </c>
      <c r="D7" s="33" t="n">
        <v>320985</v>
      </c>
      <c r="E7" s="33" t="n">
        <v>21565</v>
      </c>
      <c r="F7" s="27" t="n">
        <v>79</v>
      </c>
      <c r="G7" s="27" t="n">
        <v>451</v>
      </c>
      <c r="H7" s="27" t="n">
        <v>644</v>
      </c>
    </row>
    <row r="8">
      <c r="A8" s="35" t="inlineStr">
        <is>
          <t>2026-05-09</t>
        </is>
      </c>
      <c r="B8" s="35" t="inlineStr">
        <is>
          <t>Markets_Settlements</t>
        </is>
      </c>
      <c r="C8" s="35" t="n">
        <v>296411</v>
      </c>
      <c r="D8" s="35" t="n">
        <v>277103</v>
      </c>
      <c r="E8" s="35" t="n">
        <v>19308</v>
      </c>
      <c r="F8" s="27" t="n">
        <v>68</v>
      </c>
      <c r="G8" s="27" t="n">
        <v>389</v>
      </c>
      <c r="H8" s="27" t="n">
        <v>702</v>
      </c>
    </row>
    <row r="9">
      <c r="A9" s="33" t="inlineStr">
        <is>
          <t>2026-05-10</t>
        </is>
      </c>
      <c r="B9" s="33" t="inlineStr">
        <is>
          <t>Markets_Settlements</t>
        </is>
      </c>
      <c r="C9" s="33" t="n">
        <v>301778</v>
      </c>
      <c r="D9" s="33" t="n">
        <v>281224</v>
      </c>
      <c r="E9" s="33" t="n">
        <v>20554</v>
      </c>
      <c r="F9" s="27" t="n">
        <v>74</v>
      </c>
      <c r="G9" s="27" t="n">
        <v>401</v>
      </c>
      <c r="H9" s="27" t="n">
        <v>719</v>
      </c>
    </row>
    <row r="10">
      <c r="A10" s="35" t="inlineStr">
        <is>
          <t>2026-05-11</t>
        </is>
      </c>
      <c r="B10" s="35" t="inlineStr">
        <is>
          <t>Custody_Nostro</t>
        </is>
      </c>
      <c r="C10" s="35" t="n">
        <v>309664</v>
      </c>
      <c r="D10" s="35" t="n">
        <v>287082</v>
      </c>
      <c r="E10" s="35" t="n">
        <v>22582</v>
      </c>
      <c r="F10" s="27" t="n">
        <v>65</v>
      </c>
      <c r="G10" s="27" t="n">
        <v>427</v>
      </c>
      <c r="H10" s="27" t="n">
        <v>691</v>
      </c>
    </row>
    <row r="11">
      <c r="A11" s="33" t="inlineStr">
        <is>
          <t>2026-05-12</t>
        </is>
      </c>
      <c r="B11" s="33" t="inlineStr">
        <is>
          <t>Custody_Nostro</t>
        </is>
      </c>
      <c r="C11" s="33" t="n">
        <v>315992</v>
      </c>
      <c r="D11" s="33" t="n">
        <v>292410</v>
      </c>
      <c r="E11" s="33" t="n">
        <v>23582</v>
      </c>
      <c r="F11" s="27" t="n">
        <v>71</v>
      </c>
      <c r="G11" s="27" t="n">
        <v>446</v>
      </c>
      <c r="H11" s="27" t="n">
        <v>736</v>
      </c>
    </row>
    <row r="12">
      <c r="A12" s="35" t="inlineStr">
        <is>
          <t>2026-05-13</t>
        </is>
      </c>
      <c r="B12" s="35" t="inlineStr">
        <is>
          <t>Corp_Banking_APAC</t>
        </is>
      </c>
      <c r="C12" s="35" t="n">
        <v>286404</v>
      </c>
      <c r="D12" s="35" t="n">
        <v>253184</v>
      </c>
      <c r="E12" s="35" t="n">
        <v>33220</v>
      </c>
      <c r="F12" s="27" t="n">
        <v>94</v>
      </c>
      <c r="G12" s="27" t="n">
        <v>503</v>
      </c>
      <c r="H12" s="27" t="n">
        <v>861</v>
      </c>
    </row>
    <row r="13">
      <c r="A13" s="33" t="inlineStr">
        <is>
          <t>2026-05-14</t>
        </is>
      </c>
      <c r="B13" s="33" t="inlineStr">
        <is>
          <t>Corp_Banking_APAC</t>
        </is>
      </c>
      <c r="C13" s="33" t="n">
        <v>290871</v>
      </c>
      <c r="D13" s="33" t="n">
        <v>255191</v>
      </c>
      <c r="E13" s="33" t="n">
        <v>35680</v>
      </c>
      <c r="F13" s="27" t="n">
        <v>102</v>
      </c>
      <c r="G13" s="27" t="n">
        <v>454</v>
      </c>
      <c r="H13" s="27" t="n">
        <v>882</v>
      </c>
    </row>
    <row r="14">
      <c r="A14" s="35" t="inlineStr">
        <is>
          <t>2026-05-15</t>
        </is>
      </c>
      <c r="B14" s="35" t="inlineStr">
        <is>
          <t>LATAM_Payments</t>
        </is>
      </c>
      <c r="C14" s="35" t="n">
        <v>291371</v>
      </c>
      <c r="D14" s="35" t="n">
        <v>243120</v>
      </c>
      <c r="E14" s="35" t="n">
        <v>48251</v>
      </c>
      <c r="F14" s="27" t="n">
        <v>136</v>
      </c>
      <c r="G14" s="27" t="n">
        <v>500</v>
      </c>
      <c r="H14" s="27" t="n">
        <v>976</v>
      </c>
    </row>
    <row r="15">
      <c r="A15" s="33" t="n"/>
      <c r="B15" s="33" t="n"/>
      <c r="C15" s="33" t="n"/>
      <c r="D15" s="33" t="n"/>
      <c r="E15" s="33" t="n"/>
      <c r="F15" s="27" t="n"/>
      <c r="G15" s="27" t="n"/>
      <c r="H15" s="27" t="n"/>
    </row>
    <row r="16">
      <c r="A16" s="35" t="n"/>
      <c r="B16" s="35" t="n"/>
      <c r="C16" s="35" t="n"/>
      <c r="D16" s="35" t="n"/>
      <c r="E16" s="35" t="n"/>
      <c r="F16" s="27" t="n"/>
      <c r="G16" s="27" t="n"/>
      <c r="H16" s="27" t="n"/>
    </row>
    <row r="17">
      <c r="A17" s="33" t="n"/>
      <c r="B17" s="33" t="n"/>
      <c r="C17" s="33" t="n"/>
      <c r="D17" s="33" t="n"/>
      <c r="E17" s="33" t="n"/>
      <c r="F17" s="27" t="n"/>
      <c r="G17" s="27" t="n"/>
      <c r="H17" s="27" t="n"/>
    </row>
    <row r="18">
      <c r="A18" s="35" t="n"/>
      <c r="B18" s="35" t="n"/>
      <c r="C18" s="35" t="n"/>
      <c r="D18" s="35" t="n"/>
      <c r="E18" s="35" t="n"/>
      <c r="F18" s="27" t="n"/>
      <c r="G18" s="27" t="n"/>
      <c r="H18" s="27" t="n"/>
    </row>
    <row r="19">
      <c r="A19" s="33" t="n"/>
      <c r="B19" s="33" t="n"/>
      <c r="C19" s="33" t="n"/>
      <c r="D19" s="33" t="n"/>
      <c r="E19" s="33" t="n"/>
      <c r="F19" s="27" t="n"/>
      <c r="G19" s="27" t="n"/>
      <c r="H19" s="27" t="n"/>
    </row>
    <row r="20">
      <c r="A20" s="35" t="n"/>
      <c r="B20" s="35" t="n"/>
      <c r="C20" s="35" t="n"/>
      <c r="D20" s="35" t="n"/>
      <c r="E20" s="35" t="n"/>
      <c r="F20" s="27" t="n"/>
      <c r="G20" s="27" t="n"/>
      <c r="H20" s="27" t="n"/>
    </row>
    <row r="21">
      <c r="A21" s="33" t="n"/>
      <c r="B21" s="33" t="n"/>
      <c r="C21" s="33" t="n"/>
      <c r="D21" s="33" t="n"/>
      <c r="E21" s="33" t="n"/>
      <c r="F21" s="27" t="n"/>
      <c r="G21" s="27" t="n"/>
      <c r="H21" s="27" t="n"/>
    </row>
    <row r="22">
      <c r="A22" s="35" t="n"/>
      <c r="B22" s="35" t="n"/>
      <c r="C22" s="35" t="n"/>
      <c r="D22" s="35" t="n"/>
      <c r="E22" s="35" t="n"/>
      <c r="F22" s="27" t="n"/>
      <c r="G22" s="27" t="n"/>
      <c r="H22" s="27" t="n"/>
    </row>
    <row r="23">
      <c r="A23" s="33" t="n"/>
      <c r="B23" s="33" t="n"/>
      <c r="C23" s="33" t="n"/>
      <c r="D23" s="33" t="n"/>
      <c r="E23" s="33" t="n"/>
      <c r="F23" s="27" t="n"/>
      <c r="G23" s="27" t="n"/>
      <c r="H23" s="27" t="n"/>
    </row>
    <row r="24">
      <c r="A24" s="35" t="n"/>
      <c r="B24" s="35" t="n"/>
      <c r="C24" s="35" t="n"/>
      <c r="D24" s="35" t="n"/>
      <c r="E24" s="35" t="n"/>
      <c r="F24" s="27" t="n"/>
      <c r="G24" s="27" t="n"/>
      <c r="H24" s="27" t="n"/>
    </row>
    <row r="25">
      <c r="A25" s="33" t="n"/>
      <c r="B25" s="33" t="n"/>
      <c r="C25" s="33" t="n"/>
      <c r="D25" s="33" t="n"/>
      <c r="E25" s="33" t="n"/>
      <c r="F25" s="27" t="n"/>
      <c r="G25" s="27" t="n"/>
      <c r="H25" s="27" t="n"/>
    </row>
    <row r="26">
      <c r="A26" s="35" t="n"/>
      <c r="B26" s="35" t="n"/>
      <c r="C26" s="35" t="n"/>
      <c r="D26" s="35" t="n"/>
      <c r="E26" s="35" t="n"/>
      <c r="F26" s="27" t="n"/>
      <c r="G26" s="27" t="n"/>
      <c r="H26" s="27" t="n"/>
    </row>
    <row r="27">
      <c r="A27" s="33" t="n"/>
      <c r="B27" s="33" t="n"/>
      <c r="C27" s="33" t="n"/>
      <c r="D27" s="33" t="n"/>
      <c r="E27" s="33" t="n"/>
      <c r="F27" s="27" t="n"/>
      <c r="G27" s="27" t="n"/>
      <c r="H27" s="27" t="n"/>
    </row>
    <row r="28">
      <c r="A28" s="35" t="n"/>
      <c r="B28" s="35" t="n"/>
      <c r="C28" s="35" t="n"/>
      <c r="D28" s="35" t="n"/>
      <c r="E28" s="35" t="n"/>
      <c r="F28" s="27" t="n"/>
      <c r="G28" s="27" t="n"/>
      <c r="H28" s="27" t="n"/>
    </row>
    <row r="29">
      <c r="A29" s="33" t="n"/>
      <c r="B29" s="33" t="n"/>
      <c r="C29" s="33" t="n"/>
      <c r="D29" s="33" t="n"/>
      <c r="E29" s="33" t="n"/>
      <c r="F29" s="27" t="n"/>
      <c r="G29" s="27" t="n"/>
      <c r="H29" s="27" t="n"/>
    </row>
    <row r="30">
      <c r="A30" s="35" t="n"/>
      <c r="B30" s="35" t="n"/>
      <c r="C30" s="35" t="n"/>
      <c r="D30" s="35" t="n"/>
      <c r="E30" s="35" t="n"/>
      <c r="F30" s="27" t="n"/>
      <c r="G30" s="27" t="n"/>
      <c r="H30" s="27" t="n"/>
    </row>
    <row r="31">
      <c r="A31" s="33" t="n"/>
      <c r="B31" s="33" t="n"/>
      <c r="C31" s="33" t="n"/>
      <c r="D31" s="33" t="n"/>
      <c r="E31" s="33" t="n"/>
      <c r="F31" s="27" t="n"/>
      <c r="G31" s="27" t="n"/>
      <c r="H31" s="27" t="n"/>
    </row>
    <row r="32">
      <c r="A32" s="35" t="n"/>
      <c r="B32" s="35" t="n"/>
      <c r="C32" s="35" t="n"/>
      <c r="D32" s="35" t="n"/>
      <c r="E32" s="35" t="n"/>
      <c r="F32" s="27" t="n"/>
      <c r="G32" s="27" t="n"/>
      <c r="H32" s="27" t="n"/>
    </row>
    <row r="33">
      <c r="A33" s="33" t="n"/>
      <c r="B33" s="33" t="n"/>
      <c r="C33" s="33" t="n"/>
      <c r="D33" s="33" t="n"/>
      <c r="E33" s="33" t="n"/>
      <c r="F33" s="27" t="n"/>
      <c r="G33" s="27" t="n"/>
      <c r="H33" s="27" t="n"/>
    </row>
    <row r="34">
      <c r="A34" s="35" t="n"/>
      <c r="B34" s="35" t="n"/>
      <c r="C34" s="35" t="n"/>
      <c r="D34" s="35" t="n"/>
      <c r="E34" s="35" t="n"/>
      <c r="F34" s="27" t="n"/>
      <c r="G34" s="27" t="n"/>
      <c r="H34" s="27" t="n"/>
    </row>
    <row r="35">
      <c r="A35" s="33" t="n"/>
      <c r="B35" s="33" t="n"/>
      <c r="C35" s="33" t="n"/>
      <c r="D35" s="33" t="n"/>
      <c r="E35" s="33" t="n"/>
      <c r="F35" s="27" t="n"/>
      <c r="G35" s="27" t="n"/>
      <c r="H35" s="27" t="n"/>
    </row>
    <row r="36">
      <c r="A36" s="35" t="n"/>
      <c r="B36" s="35" t="n"/>
      <c r="C36" s="35" t="n"/>
      <c r="D36" s="35" t="n"/>
      <c r="E36" s="35" t="n"/>
      <c r="F36" s="27" t="n"/>
      <c r="G36" s="27" t="n"/>
      <c r="H36" s="27" t="n"/>
    </row>
    <row r="37">
      <c r="A37" s="33" t="n"/>
      <c r="B37" s="33" t="n"/>
      <c r="C37" s="33" t="n"/>
      <c r="D37" s="33" t="n"/>
      <c r="E37" s="33" t="n"/>
      <c r="F37" s="27" t="n"/>
      <c r="G37" s="27" t="n"/>
      <c r="H37" s="27" t="n"/>
    </row>
    <row r="38">
      <c r="A38" s="35" t="n"/>
      <c r="B38" s="35" t="n"/>
      <c r="C38" s="35" t="n"/>
      <c r="D38" s="35" t="n"/>
      <c r="E38" s="35" t="n"/>
      <c r="F38" s="27" t="n"/>
      <c r="G38" s="27" t="n"/>
      <c r="H38" s="27" t="n"/>
    </row>
    <row r="39">
      <c r="A39" s="33" t="n"/>
      <c r="B39" s="33" t="n"/>
      <c r="C39" s="33" t="n"/>
      <c r="D39" s="33" t="n"/>
      <c r="E39" s="33" t="n"/>
      <c r="F39" s="27" t="n"/>
      <c r="G39" s="27" t="n"/>
      <c r="H39" s="27" t="n"/>
    </row>
    <row r="40">
      <c r="A40" s="35" t="n"/>
      <c r="B40" s="35" t="n"/>
      <c r="C40" s="35" t="n"/>
      <c r="D40" s="35" t="n"/>
      <c r="E40" s="35" t="n"/>
      <c r="F40" s="27" t="n"/>
      <c r="G40" s="27" t="n"/>
      <c r="H40" s="27" t="n"/>
    </row>
    <row r="41">
      <c r="A41" s="33" t="n"/>
      <c r="B41" s="33" t="n"/>
      <c r="C41" s="33" t="n"/>
      <c r="D41" s="33" t="n"/>
      <c r="E41" s="33" t="n"/>
      <c r="F41" s="27" t="n"/>
      <c r="G41" s="27" t="n"/>
      <c r="H41" s="27" t="n"/>
    </row>
    <row r="42">
      <c r="A42" s="35" t="n"/>
      <c r="B42" s="35" t="n"/>
      <c r="C42" s="35" t="n"/>
      <c r="D42" s="35" t="n"/>
      <c r="E42" s="35" t="n"/>
      <c r="F42" s="27" t="n"/>
      <c r="G42" s="27" t="n"/>
      <c r="H42" s="27" t="n"/>
    </row>
    <row r="43">
      <c r="A43" s="33" t="n"/>
      <c r="B43" s="33" t="n"/>
      <c r="C43" s="33" t="n"/>
      <c r="D43" s="33" t="n"/>
      <c r="E43" s="33" t="n"/>
      <c r="F43" s="27" t="n"/>
      <c r="G43" s="27" t="n"/>
      <c r="H43" s="27" t="n"/>
    </row>
    <row r="44">
      <c r="A44" s="35" t="n"/>
      <c r="B44" s="35" t="n"/>
      <c r="C44" s="35" t="n"/>
      <c r="D44" s="35" t="n"/>
      <c r="E44" s="35" t="n"/>
      <c r="F44" s="27" t="n"/>
      <c r="G44" s="27" t="n"/>
      <c r="H44" s="27" t="n"/>
    </row>
  </sheetData>
  <autoFilter ref="A4:E44"/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3" sqref="A1:J1048576"/>
    </sheetView>
  </sheetViews>
  <sheetFormatPr baseColWidth="8" defaultRowHeight="15"/>
  <cols>
    <col width="22" bestFit="1" customWidth="1" min="1" max="1"/>
    <col width="22" bestFit="1" customWidth="1" min="2" max="2"/>
    <col width="22" bestFit="1" customWidth="1" min="3" max="3"/>
    <col width="22" bestFit="1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1" customHeight="1">
      <c r="A1" s="11" t="inlineStr">
        <is>
          <t>Audit and Lineage</t>
        </is>
      </c>
    </row>
    <row r="2">
      <c r="A2" s="12" t="inlineStr">
        <is>
          <t>Pipeline traceability</t>
        </is>
      </c>
    </row>
    <row r="4">
      <c r="A4" s="40" t="inlineStr">
        <is>
          <t>Stage</t>
        </is>
      </c>
      <c r="B4" s="40" t="inlineStr">
        <is>
          <t>Artifact</t>
        </is>
      </c>
      <c r="C4" s="40" t="inlineStr">
        <is>
          <t>Row count</t>
        </is>
      </c>
      <c r="D4" s="40" t="inlineStr">
        <is>
          <t>Status</t>
        </is>
      </c>
      <c r="E4" s="26" t="n"/>
      <c r="F4" s="26" t="n"/>
      <c r="G4" s="26" t="n"/>
      <c r="H4" s="26" t="n"/>
    </row>
    <row r="5">
      <c r="A5" s="33" t="inlineStr">
        <is>
          <t>Ingestion</t>
        </is>
      </c>
      <c r="B5" s="33" t="inlineStr">
        <is>
          <t>enterprise_banking_messy_dataset_amer</t>
        </is>
      </c>
      <c r="C5" s="33" t="n">
        <v>510003</v>
      </c>
      <c r="D5" s="33" t="inlineStr">
        <is>
          <t>2026-05-15 07:06:53</t>
        </is>
      </c>
      <c r="E5" s="27" t="inlineStr">
        <is>
          <t>2026-05-15 07:11:31</t>
        </is>
      </c>
      <c r="F5" s="27" t="inlineStr">
        <is>
          <t>COMPLETE</t>
        </is>
      </c>
      <c r="G5" s="27" t="n"/>
      <c r="H5" s="27" t="n"/>
    </row>
    <row r="6">
      <c r="A6" s="35" t="inlineStr">
        <is>
          <t>Standardization</t>
        </is>
      </c>
      <c r="B6" s="35" t="inlineStr">
        <is>
          <t>std_global_banking_conformed</t>
        </is>
      </c>
      <c r="C6" s="35" t="n">
        <v>510003</v>
      </c>
      <c r="D6" s="35" t="inlineStr">
        <is>
          <t>2026-05-15 07:11:32</t>
        </is>
      </c>
      <c r="E6" s="27" t="inlineStr">
        <is>
          <t>2026-05-15 07:17:04</t>
        </is>
      </c>
      <c r="F6" s="27" t="inlineStr">
        <is>
          <t>COMPLETE</t>
        </is>
      </c>
      <c r="G6" s="27" t="n"/>
      <c r="H6" s="27" t="n"/>
    </row>
    <row r="7">
      <c r="A7" s="33" t="inlineStr">
        <is>
          <t>Validation</t>
        </is>
      </c>
      <c r="B7" s="33" t="inlineStr">
        <is>
          <t>val_rule_engine_batch_52c22038</t>
        </is>
      </c>
      <c r="C7" s="33" t="n">
        <v>510003</v>
      </c>
      <c r="D7" s="33" t="inlineStr">
        <is>
          <t>2026-05-15 07:17:05</t>
        </is>
      </c>
      <c r="E7" s="27" t="inlineStr">
        <is>
          <t>2026-05-15 07:22:28</t>
        </is>
      </c>
      <c r="F7" s="27" t="inlineStr">
        <is>
          <t>COMPLETE</t>
        </is>
      </c>
      <c r="G7" s="27" t="n"/>
      <c r="H7" s="27" t="n"/>
    </row>
    <row r="8">
      <c r="A8" s="35" t="inlineStr">
        <is>
          <t>Duplicate Detection</t>
        </is>
      </c>
      <c r="B8" s="35" t="inlineStr">
        <is>
          <t>dup_similarity_model_batch_52c22038</t>
        </is>
      </c>
      <c r="C8" s="35" t="n">
        <v>510003</v>
      </c>
      <c r="D8" s="35" t="inlineStr">
        <is>
          <t>2026-05-15 07:22:29</t>
        </is>
      </c>
      <c r="E8" s="27" t="inlineStr">
        <is>
          <t>2026-05-15 07:24:17</t>
        </is>
      </c>
      <c r="F8" s="27" t="inlineStr">
        <is>
          <t>COMPLETE</t>
        </is>
      </c>
      <c r="G8" s="27" t="n"/>
      <c r="H8" s="27" t="n"/>
    </row>
    <row r="9">
      <c r="A9" s="33" t="inlineStr">
        <is>
          <t>Reconciliation</t>
        </is>
      </c>
      <c r="B9" s="33" t="inlineStr">
        <is>
          <t>recon_match_engine_batch_52c22038</t>
        </is>
      </c>
      <c r="C9" s="33" t="n">
        <v>510003</v>
      </c>
      <c r="D9" s="33" t="inlineStr">
        <is>
          <t>2026-05-15 07:24:18</t>
        </is>
      </c>
      <c r="E9" s="27" t="inlineStr">
        <is>
          <t>2026-05-15 07:26:41</t>
        </is>
      </c>
      <c r="F9" s="27" t="inlineStr">
        <is>
          <t>COMPLETE</t>
        </is>
      </c>
      <c r="G9" s="27" t="n"/>
      <c r="H9" s="27" t="n"/>
    </row>
    <row r="10">
      <c r="A10" s="35" t="inlineStr">
        <is>
          <t>Reporting</t>
        </is>
      </c>
      <c r="B10" s="35" t="inlineStr">
        <is>
          <t>ops_master_report_pack</t>
        </is>
      </c>
      <c r="C10" s="35" t="n">
        <v>510003</v>
      </c>
      <c r="D10" s="35" t="inlineStr">
        <is>
          <t>2026-05-15 07:26:42</t>
        </is>
      </c>
      <c r="E10" s="27" t="inlineStr">
        <is>
          <t>2026-05-15 07:27:33</t>
        </is>
      </c>
      <c r="F10" s="27" t="inlineStr">
        <is>
          <t>COMPLETE</t>
        </is>
      </c>
      <c r="G10" s="27" t="n"/>
      <c r="H10" s="27" t="n"/>
    </row>
    <row r="11">
      <c r="A11" s="33" t="inlineStr">
        <is>
          <t>GOLD_LAYER</t>
        </is>
      </c>
      <c r="B11" s="33" t="inlineStr">
        <is>
          <t>data/gold/gold_*</t>
        </is>
      </c>
      <c r="C11" s="33" t="n">
        <v>0</v>
      </c>
      <c r="D11" s="33" t="inlineStr">
        <is>
          <t>COMPLETE</t>
        </is>
      </c>
      <c r="E11" s="27" t="n"/>
      <c r="F11" s="27" t="n"/>
      <c r="G11" s="27" t="n"/>
      <c r="H11" s="27" t="n"/>
    </row>
    <row r="12">
      <c r="A12" s="35" t="inlineStr">
        <is>
          <t>REPORTING</t>
        </is>
      </c>
      <c r="B12" s="35" t="inlineStr">
        <is>
          <t>outputs/excel_reports</t>
        </is>
      </c>
      <c r="C12" s="35" t="n">
        <v>50000</v>
      </c>
      <c r="D12" s="35" t="inlineStr">
        <is>
          <t>IN_PROGRESS</t>
        </is>
      </c>
      <c r="E12" s="27" t="n"/>
      <c r="F12" s="27" t="n"/>
      <c r="G12" s="27" t="n"/>
      <c r="H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>
      <c r="A16" s="43" t="inlineStr">
        <is>
          <t>Traceability metrics</t>
        </is>
      </c>
      <c r="B16" s="27" t="n"/>
      <c r="C16" s="27" t="n"/>
      <c r="D16" s="27" t="n"/>
      <c r="E16" s="27" t="n"/>
      <c r="F16" s="27" t="n"/>
      <c r="G16" s="27" t="n"/>
      <c r="H16" s="27" t="n"/>
    </row>
    <row r="17">
      <c r="A17" s="32" t="inlineStr">
        <is>
          <t>Metric</t>
        </is>
      </c>
      <c r="B17" s="32" t="inlineStr">
        <is>
          <t>Value</t>
        </is>
      </c>
      <c r="C17" s="27" t="n"/>
      <c r="D17" s="27" t="n"/>
      <c r="E17" s="27" t="n"/>
      <c r="F17" s="27" t="n"/>
      <c r="G17" s="27" t="n"/>
      <c r="H17" s="27" t="n"/>
    </row>
    <row r="18">
      <c r="A18" s="33" t="inlineStr">
        <is>
          <t>Validation audit sample rows</t>
        </is>
      </c>
      <c r="B18" s="33" t="n">
        <v>50000</v>
      </c>
      <c r="C18" s="27" t="n"/>
      <c r="D18" s="27" t="n"/>
      <c r="E18" s="27" t="n"/>
      <c r="F18" s="27" t="n"/>
      <c r="G18" s="27" t="n"/>
      <c r="H18" s="27" t="n"/>
    </row>
    <row r="19">
      <c r="A19" s="35" t="inlineStr">
        <is>
          <t>Reconciliation audit sample rows</t>
        </is>
      </c>
      <c r="B19" s="35" t="n">
        <v>0</v>
      </c>
      <c r="C19" s="27" t="n"/>
      <c r="D19" s="27" t="n"/>
      <c r="E19" s="27" t="n"/>
      <c r="F19" s="27" t="n"/>
      <c r="G19" s="27" t="n"/>
      <c r="H19" s="27" t="n"/>
    </row>
    <row r="20">
      <c r="A20" s="33" t="inlineStr">
        <is>
          <t>Standardization audit sample rows</t>
        </is>
      </c>
      <c r="B20" s="33" t="n">
        <v>50000</v>
      </c>
      <c r="C20" s="27" t="n"/>
      <c r="D20" s="27" t="n"/>
      <c r="E20" s="27" t="n"/>
      <c r="F20" s="27" t="n"/>
      <c r="G20" s="27" t="n"/>
      <c r="H20" s="27" t="n"/>
    </row>
    <row r="21">
      <c r="A21" s="35" t="inlineStr">
        <is>
          <t>Transaction master rows</t>
        </is>
      </c>
      <c r="B21" s="35" t="n">
        <v>0</v>
      </c>
      <c r="C21" s="27" t="n"/>
      <c r="D21" s="27" t="n"/>
      <c r="E21" s="27" t="n"/>
      <c r="F21" s="27" t="n"/>
      <c r="G21" s="27" t="n"/>
      <c r="H21" s="27" t="n"/>
    </row>
  </sheetData>
  <autoFilter ref="A17:B21"/>
  <mergeCells count="2">
    <mergeCell ref="A2:H2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3" sqref="A1:J1048576"/>
    </sheetView>
  </sheetViews>
  <sheetFormatPr baseColWidth="8" defaultRowHeight="15"/>
  <cols>
    <col width="27.42578125" bestFit="1" customWidth="1" min="1" max="1"/>
    <col width="37.28515625" bestFit="1" customWidth="1" min="2" max="2"/>
  </cols>
  <sheetData>
    <row r="1" ht="21" customHeight="1">
      <c r="A1" s="11" t="inlineStr">
        <is>
          <t>Batch Run Metadata</t>
        </is>
      </c>
    </row>
    <row r="2">
      <c r="A2" s="12" t="inlineStr">
        <is>
          <t>Processing timestamps and rerun indicators</t>
        </is>
      </c>
    </row>
    <row r="4">
      <c r="A4" s="14" t="inlineStr">
        <is>
          <t>Field</t>
        </is>
      </c>
      <c r="B4" s="14" t="inlineStr">
        <is>
          <t>Value</t>
        </is>
      </c>
    </row>
    <row r="5">
      <c r="A5" s="8" t="inlineStr">
        <is>
          <t>processing_batch_id</t>
        </is>
      </c>
      <c r="B5" s="8" t="inlineStr">
        <is>
          <t>52c22038-65cd-44b2-8f37-1d92e0e43c43</t>
        </is>
      </c>
    </row>
    <row r="6">
      <c r="A6" s="9" t="inlineStr">
        <is>
          <t>report_generated_at</t>
        </is>
      </c>
      <c r="B6" s="9" t="inlineStr">
        <is>
          <t>2026-05-15 07:27:33 UTC</t>
        </is>
      </c>
    </row>
    <row r="7">
      <c r="A7" s="8" t="inlineStr">
        <is>
          <t>pipeline_duration_seconds</t>
        </is>
      </c>
      <c r="B7" s="8" t="n">
        <v>1187.88</v>
      </c>
    </row>
    <row r="8">
      <c r="A8" s="9" t="inlineStr">
        <is>
          <t>base_currency</t>
        </is>
      </c>
      <c r="B8" s="9" t="inlineStr">
        <is>
          <t>USD</t>
        </is>
      </c>
    </row>
    <row r="9">
      <c r="A9" s="8" t="inlineStr">
        <is>
          <t>project_root_layer</t>
        </is>
      </c>
      <c r="B9" s="8" t="inlineStr">
        <is>
          <t>global-banking-reconciliation-pipeline</t>
        </is>
      </c>
    </row>
    <row r="10">
      <c r="A10" s="9" t="inlineStr">
        <is>
          <t>ingestion_files</t>
        </is>
      </c>
      <c r="B10" s="9" t="n">
        <v>10</v>
      </c>
    </row>
    <row r="11">
      <c r="A11" s="8" t="inlineStr">
        <is>
          <t>last_ingestion_timestamp</t>
        </is>
      </c>
      <c r="B11" s="8" t="inlineStr">
        <is>
          <t>2026-05-15T07:06:53.791700+00:00</t>
        </is>
      </c>
    </row>
    <row r="12">
      <c r="A12" s="9" t="inlineStr">
        <is>
          <t>standardization_batch_id</t>
        </is>
      </c>
      <c r="B12" s="9" t="inlineStr">
        <is>
          <t>bf5723eb-0978-4224-b011-5ad49b4059a4</t>
        </is>
      </c>
    </row>
    <row r="13">
      <c r="A13" s="8" t="inlineStr">
        <is>
          <t>validation_batch_id</t>
        </is>
      </c>
      <c r="B13" s="8" t="inlineStr">
        <is>
          <t>52c22038-65cd-44b2-8f37-1d92e0e43c43</t>
        </is>
      </c>
    </row>
    <row r="14">
      <c r="A14" s="9" t="inlineStr">
        <is>
          <t>duplicate_batch_id</t>
        </is>
      </c>
      <c r="B14" s="9" t="inlineStr">
        <is>
          <t>52c22038-65cd-44b2-8f37-1d92e0e43c43</t>
        </is>
      </c>
    </row>
    <row r="15">
      <c r="A15" s="8" t="inlineStr">
        <is>
          <t>reconciliation_batch_id</t>
        </is>
      </c>
      <c r="B15" s="8" t="inlineStr">
        <is>
          <t>52c22038-65cd-44b2-8f37-1d92e0e43c43</t>
        </is>
      </c>
    </row>
    <row r="16">
      <c r="A16" s="9" t="inlineStr">
        <is>
          <t>validation_audit_sample_cap</t>
        </is>
      </c>
      <c r="B16" s="9" t="n">
        <v>50000</v>
      </c>
    </row>
    <row r="17">
      <c r="A17" s="8" t="inlineStr">
        <is>
          <t>rerun_indicator</t>
        </is>
      </c>
      <c r="B17" s="8" t="inlineStr">
        <is>
          <t>RERUN_REQUIRED_IF_SOURCE_FIXES_APPROVED</t>
        </is>
      </c>
    </row>
  </sheetData>
  <autoFilter ref="A4:B17"/>
  <mergeCells count="2">
    <mergeCell ref="A2:H2"/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3" sqref="A1:I1048576"/>
    </sheetView>
  </sheetViews>
  <sheetFormatPr baseColWidth="8" defaultRowHeight="15"/>
  <cols>
    <col width="25.5703125" bestFit="1" customWidth="1" min="1" max="1"/>
    <col width="72.7109375" customWidth="1" min="2" max="2"/>
  </cols>
  <sheetData>
    <row r="1" ht="21" customHeight="1">
      <c r="A1" s="11" t="inlineStr">
        <is>
          <t>Definitions and Methodology</t>
        </is>
      </c>
    </row>
    <row r="2">
      <c r="A2" s="12" t="inlineStr">
        <is>
          <t>Control framework reference</t>
        </is>
      </c>
    </row>
    <row r="4">
      <c r="A4" s="14" t="inlineStr">
        <is>
          <t>S0–S5</t>
        </is>
      </c>
      <c r="B4" s="17" t="inlineStr">
        <is>
          <t>Enterprise severity ladder: S5 fatal mandatory breach through S0 informational.</t>
        </is>
      </c>
      <c r="C4" s="20" t="n"/>
      <c r="D4" s="20" t="n"/>
      <c r="E4" s="20" t="n"/>
      <c r="F4" s="20" t="n"/>
      <c r="G4" s="21" t="n"/>
    </row>
    <row r="5">
      <c r="A5" s="14" t="inlineStr">
        <is>
          <t>Processing completion rate</t>
        </is>
      </c>
      <c r="B5" s="17" t="inlineStr">
        <is>
          <t>VALID gold rows ÷ total rows processed in validation mart.</t>
        </is>
      </c>
      <c r="C5" s="20" t="n"/>
      <c r="D5" s="20" t="n"/>
      <c r="E5" s="20" t="n"/>
      <c r="F5" s="20" t="n"/>
      <c r="G5" s="21" t="n"/>
    </row>
    <row r="6">
      <c r="A6" s="14" t="inlineStr">
        <is>
          <t>Reconciliation match rate</t>
        </is>
      </c>
      <c r="B6" s="17" t="inlineStr">
        <is>
          <t>Matched outcomes ÷ total reconciliation population.</t>
        </is>
      </c>
      <c r="C6" s="20" t="n"/>
      <c r="D6" s="20" t="n"/>
      <c r="E6" s="20" t="n"/>
      <c r="F6" s="20" t="n"/>
      <c r="G6" s="21" t="n"/>
    </row>
    <row r="7">
      <c r="A7" s="14" t="inlineStr">
        <is>
          <t>FULL_MATCH</t>
        </is>
      </c>
      <c r="B7" s="17" t="inlineStr">
        <is>
          <t>Amount and temporal alignment within configured tolerances.</t>
        </is>
      </c>
      <c r="C7" s="20" t="n"/>
      <c r="D7" s="20" t="n"/>
      <c r="E7" s="20" t="n"/>
      <c r="F7" s="20" t="n"/>
      <c r="G7" s="21" t="n"/>
    </row>
    <row r="8">
      <c r="A8" s="14" t="inlineStr">
        <is>
          <t>PARTIAL_MATCH</t>
        </is>
      </c>
      <c r="B8" s="17" t="inlineStr">
        <is>
          <t>Match attempted; both amount and time outside tolerance.</t>
        </is>
      </c>
      <c r="C8" s="20" t="n"/>
      <c r="D8" s="20" t="n"/>
      <c r="E8" s="20" t="n"/>
      <c r="F8" s="20" t="n"/>
      <c r="G8" s="21" t="n"/>
    </row>
    <row r="9" ht="30" customHeight="1">
      <c r="A9" s="14" t="inlineStr">
        <is>
          <t>DATE_MISMATCH / AMOUNT_MISMATCH</t>
        </is>
      </c>
      <c r="B9" s="17" t="inlineStr">
        <is>
          <t>Single-dimension break with counterpart resolved.</t>
        </is>
      </c>
      <c r="C9" s="20" t="n"/>
      <c r="D9" s="20" t="n"/>
      <c r="E9" s="20" t="n"/>
      <c r="F9" s="20" t="n"/>
      <c r="G9" s="21" t="n"/>
    </row>
    <row r="10">
      <c r="A10" s="14" t="inlineStr">
        <is>
          <t>MISSING_SETTLEMENT</t>
        </is>
      </c>
      <c r="B10" s="17" t="inlineStr">
        <is>
          <t>No resolvable settlement reference — unresolved exposure.</t>
        </is>
      </c>
      <c r="C10" s="20" t="n"/>
      <c r="D10" s="20" t="n"/>
      <c r="E10" s="20" t="n"/>
      <c r="F10" s="20" t="n"/>
      <c r="G10" s="21" t="n"/>
    </row>
    <row r="11">
      <c r="A11" s="14" t="inlineStr">
        <is>
          <t>MULTIPLE_MATCHES</t>
        </is>
      </c>
      <c r="B11" s="17" t="inlineStr">
        <is>
          <t>Ambiguous candidate set — requires manual adjudication.</t>
        </is>
      </c>
      <c r="C11" s="20" t="n"/>
      <c r="D11" s="20" t="n"/>
      <c r="E11" s="20" t="n"/>
      <c r="F11" s="20" t="n"/>
      <c r="G11" s="21" t="n"/>
    </row>
    <row r="12">
      <c r="A12" s="14" t="inlineStr">
        <is>
          <t>Duplicate intelligence</t>
        </is>
      </c>
      <c r="B12" s="17" t="inlineStr">
        <is>
          <t>EXACT, FUZZY, RETRY_PATTERN, POSSIBLE_DUPLICATE classifications.</t>
        </is>
      </c>
      <c r="C12" s="20" t="n"/>
      <c r="D12" s="20" t="n"/>
      <c r="E12" s="20" t="n"/>
      <c r="F12" s="20" t="n"/>
      <c r="G12" s="21" t="n"/>
    </row>
    <row r="13">
      <c r="A13" s="14" t="inlineStr">
        <is>
          <t>FX variance</t>
        </is>
      </c>
      <c r="B13" s="17" t="inlineStr">
        <is>
          <t>Treasury vs transaction rate comparison; breach when |variance| &gt; 2%.</t>
        </is>
      </c>
      <c r="C13" s="20" t="n"/>
      <c r="D13" s="20" t="n"/>
      <c r="E13" s="20" t="n"/>
      <c r="F13" s="20" t="n"/>
      <c r="G13" s="21" t="n"/>
    </row>
    <row r="14">
      <c r="A14" s="14" t="inlineStr">
        <is>
          <t>Aging buckets</t>
        </is>
      </c>
      <c r="B14" s="17" t="inlineStr">
        <is>
          <t>Operational SLA bands for open breaks (0–1, 2–7, 8–30, 31+ days).</t>
        </is>
      </c>
      <c r="C14" s="20" t="n"/>
      <c r="D14" s="20" t="n"/>
      <c r="E14" s="20" t="n"/>
      <c r="F14" s="20" t="n"/>
      <c r="G14" s="21" t="n"/>
    </row>
    <row r="15">
      <c r="A15" s="14" t="inlineStr">
        <is>
          <t>Audit sample cap</t>
        </is>
      </c>
      <c r="B15" s="17" t="inlineStr">
        <is>
          <t>Large audit logs sampled to configured row cap for workbook performance.</t>
        </is>
      </c>
      <c r="C15" s="20" t="n"/>
      <c r="D15" s="20" t="n"/>
      <c r="E15" s="20" t="n"/>
      <c r="F15" s="20" t="n"/>
      <c r="G15" s="21" t="n"/>
    </row>
  </sheetData>
  <mergeCells count="14">
    <mergeCell ref="B10:G10"/>
    <mergeCell ref="B5:G5"/>
    <mergeCell ref="B14:G14"/>
    <mergeCell ref="A2:H2"/>
    <mergeCell ref="B9:G9"/>
    <mergeCell ref="B8:G8"/>
    <mergeCell ref="B4:G4"/>
    <mergeCell ref="B12:G12"/>
    <mergeCell ref="B13:G13"/>
    <mergeCell ref="A1:H1"/>
    <mergeCell ref="B15:G15"/>
    <mergeCell ref="B7:G7"/>
    <mergeCell ref="B11:G11"/>
    <mergeCell ref="B6:G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tabSelected="1" workbookViewId="0">
      <pane ySplit="8" topLeftCell="A9" activePane="bottomLeft" state="frozen"/>
      <selection pane="bottomLeft" activeCell="A3" sqref="A1:K1048576"/>
    </sheetView>
  </sheetViews>
  <sheetFormatPr baseColWidth="8" defaultRowHeight="15"/>
  <cols>
    <col width="40.42578125" bestFit="1" customWidth="1" min="1" max="1"/>
    <col width="41.140625" bestFit="1" customWidth="1" min="2" max="2"/>
  </cols>
  <sheetData>
    <row r="1" ht="21" customHeight="1">
      <c r="A1" s="11" t="inlineStr">
        <is>
          <t>Navigation and Read Me</t>
        </is>
      </c>
    </row>
    <row r="2">
      <c r="A2" s="12" t="inlineStr">
        <is>
          <t>Enterprise Banking Operations Master Report</t>
        </is>
      </c>
    </row>
    <row r="4">
      <c r="A4" s="17" t="inlineStr">
        <is>
          <t>This workbook consolidates gold marts, validation and reconciliation audits, duplicate intelligence, and profiling outputs into a single executive control pack. Begin at 00_Executive_Summary for operational posture, then drill into domain sheets. All figures reflect the latest pipeline batch unless noted.</t>
        </is>
      </c>
      <c r="B4" s="44" t="n"/>
      <c r="C4" s="44" t="n"/>
      <c r="D4" s="44" t="n"/>
      <c r="E4" s="44" t="n"/>
      <c r="F4" s="44" t="n"/>
      <c r="G4" s="44" t="n"/>
      <c r="H4" s="45" t="n"/>
    </row>
    <row r="5">
      <c r="A5" s="46" t="n"/>
      <c r="H5" s="47" t="n"/>
    </row>
    <row r="6">
      <c r="A6" s="48" t="n"/>
      <c r="B6" s="49" t="n"/>
      <c r="C6" s="49" t="n"/>
      <c r="D6" s="49" t="n"/>
      <c r="E6" s="49" t="n"/>
      <c r="F6" s="49" t="n"/>
      <c r="G6" s="49" t="n"/>
      <c r="H6" s="50" t="n"/>
    </row>
    <row r="8">
      <c r="A8" s="14" t="inlineStr">
        <is>
          <t>Sheet</t>
        </is>
      </c>
      <c r="B8" s="14" t="inlineStr">
        <is>
          <t>Purpose</t>
        </is>
      </c>
    </row>
    <row r="9">
      <c r="A9" s="8" t="inlineStr">
        <is>
          <t>00_Executive_Summary</t>
        </is>
      </c>
      <c r="B9" s="8" t="inlineStr">
        <is>
          <t>Command center — KPIs, risk entities, alerts</t>
        </is>
      </c>
    </row>
    <row r="10">
      <c r="A10" s="9" t="inlineStr">
        <is>
          <t>01_Operations_Scorecard</t>
        </is>
      </c>
      <c r="B10" s="9" t="inlineStr">
        <is>
          <t>Cross-domain scorecard vs targets</t>
        </is>
      </c>
    </row>
    <row r="11">
      <c r="A11" s="8" t="inlineStr">
        <is>
          <t>02_Reconciliation_Overview</t>
        </is>
      </c>
      <c r="B11" s="8" t="inlineStr">
        <is>
          <t>Match taxonomy and confidence</t>
        </is>
      </c>
    </row>
    <row r="12">
      <c r="A12" s="9" t="inlineStr">
        <is>
          <t>03_Validation_Control_Tower</t>
        </is>
      </c>
      <c r="B12" s="9" t="inlineStr">
        <is>
          <t>S0–S5 severity and rule failures</t>
        </is>
      </c>
    </row>
    <row r="13">
      <c r="A13" s="8" t="inlineStr">
        <is>
          <t>04_Duplicate_Intelligence</t>
        </is>
      </c>
      <c r="B13" s="8" t="inlineStr">
        <is>
          <t>Clusters and source contribution</t>
        </is>
      </c>
    </row>
    <row r="14">
      <c r="A14" s="9" t="inlineStr">
        <is>
          <t>05_FX_and_Value_Variance</t>
        </is>
      </c>
      <c r="B14" s="9" t="inlineStr">
        <is>
          <t>FX exposure and tolerance breaches</t>
        </is>
      </c>
    </row>
    <row r="15">
      <c r="A15" s="8" t="inlineStr">
        <is>
          <t>06_Exception_and_Breaks_Desk</t>
        </is>
      </c>
      <c r="B15" s="8" t="inlineStr">
        <is>
          <t>Actionable exception register</t>
        </is>
      </c>
    </row>
    <row r="16">
      <c r="A16" s="9" t="inlineStr">
        <is>
          <t>07_Unresolved_Exposure_Register</t>
        </is>
      </c>
      <c r="B16" s="9" t="inlineStr">
        <is>
          <t>Aging and open exposure</t>
        </is>
      </c>
    </row>
    <row r="17">
      <c r="A17" s="8" t="inlineStr">
        <is>
          <t>08_Entity_Account_Performance</t>
        </is>
      </c>
      <c r="B17" s="8" t="inlineStr">
        <is>
          <t>Entity-level throughput and rejects</t>
        </is>
      </c>
    </row>
    <row r="18">
      <c r="A18" s="9" t="inlineStr">
        <is>
          <t>09_Trend_and_Volume_Analytics</t>
        </is>
      </c>
      <c r="B18" s="9" t="inlineStr">
        <is>
          <t>Volume trends by source</t>
        </is>
      </c>
    </row>
    <row r="19">
      <c r="A19" s="8" t="inlineStr">
        <is>
          <t>10_Audit_and_Lineage</t>
        </is>
      </c>
      <c r="B19" s="8" t="inlineStr">
        <is>
          <t>Stage lineage and traceability</t>
        </is>
      </c>
    </row>
    <row r="20">
      <c r="A20" s="9" t="inlineStr">
        <is>
          <t>11_Batch_Run_Metadata</t>
        </is>
      </c>
      <c r="B20" s="9" t="inlineStr">
        <is>
          <t>Batch IDs and run timestamps</t>
        </is>
      </c>
    </row>
    <row r="21">
      <c r="A21" s="8" t="inlineStr">
        <is>
          <t>12_Definitions_and_Methodology</t>
        </is>
      </c>
      <c r="B21" s="8" t="inlineStr">
        <is>
          <t>Terminology reference</t>
        </is>
      </c>
    </row>
    <row r="23">
      <c r="A23" s="12" t="inlineStr">
        <is>
          <t>Batch: 52c22038-65cd-44b2-8f37-1d92e0e43c43</t>
        </is>
      </c>
    </row>
  </sheetData>
  <autoFilter ref="A8:B21"/>
  <mergeCells count="3">
    <mergeCell ref="A1:H1"/>
    <mergeCell ref="A2:H2"/>
    <mergeCell ref="A4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2026-05-15T07:27:34Z</dcterms:created>
  <dcterms:modified xmlns:dcterms="http://purl.org/dc/terms/" xmlns:xsi="http://www.w3.org/2001/XMLSchema-instance" xsi:type="dcterms:W3CDTF">2026-05-15T10:33:07Z</dcterms:modified>
  <cp:lastModifiedBy>Sagar Das</cp:lastModifiedBy>
</cp:coreProperties>
</file>